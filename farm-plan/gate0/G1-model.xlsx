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arios" sheetId="2" state="visible" r:id="rId4"/>
    <sheet name="Inputs" sheetId="3" state="visible" r:id="rId5"/>
    <sheet name="Cattle" sheetId="4" state="visible" r:id="rId6"/>
    <sheet name="Sheep" sheetId="5" state="visible" r:id="rId7"/>
    <sheet name="Goats" sheetId="6" state="visible" r:id="rId8"/>
    <sheet name="Poultry" sheetId="7" state="visible" r:id="rId9"/>
    <sheet name="Mix" sheetId="8" state="visible" r:id="rId10"/>
    <sheet name="Labour" sheetId="9" state="visible" r:id="rId11"/>
    <sheet name="Lorry" sheetId="10" state="visible" r:id="rId12"/>
    <sheet name="Capital" sheetId="11" state="visible" r:id="rId13"/>
    <sheet name="Overhead" sheetId="12" state="visible" r:id="rId14"/>
    <sheet name="Farm_PnL" sheetId="13" state="visible" r:id="rId15"/>
    <sheet name="Cash_18m" sheetId="14" state="visible" r:id="rId16"/>
    <sheet name="B12" sheetId="15" state="visible" r:id="rId17"/>
    <sheet name="Breakeven" sheetId="16" state="visible" r:id="rId18"/>
    <sheet name="Collect_8wk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<sst xmlns="http://schemas.openxmlformats.org/spreadsheetml/2006/main" count="2813" uniqueCount="1070">
  <si>
    <t xml:space="preserve">G1 economics model v2 - Borut, Bomet. Rebuilt 2026-10-15 from owner intake update 2. v1 is kept as G1-model-v1.xlsx. All amounts KES; USD at CBK rate on Inputs.</t>
  </si>
  <si>
    <t xml:space="preserve">Low = adverse case, Base, High = favourable. Every calculated cell is a live formula; change blue cells on Inputs (or Overhead).</t>
  </si>
  <si>
    <t xml:space="preserve">Tags: SOURCED (published figure with URL), BENCHMARK (published but undated/other area, or standard convention), ASSUMED (no source), OWNER-REPORTED (supplied by owner; no documents seen).</t>
  </si>
  <si>
    <t xml:space="preserve">Sheets: Inputs &gt; Cattle, Sheep, Goats, Poultry (one block per breed/species), Mix, Labour, Lorry, Capital, Overhead &gt; Farm_PnL &gt; Cash_18m &gt; B12 &gt; Breakeven &gt; Scenarios &gt; Collect_8wk.</t>
  </si>
  <si>
    <t xml:space="preserve">Changes from v1: poultry 2,270 birds by breed (v1 ~1,000; intake file shows 2,770 which is an arithmetic error: 4 x 500 + 270 = 2,270); 23 acres, no rent or rates; staff 3 x 22,000; weekly vet; lorry; structures KES 2m; 6-month stores; owner &gt;300 km.</t>
  </si>
  <si>
    <t xml:space="preserve">Land has no cash cost. B12 charges no land rent; its opportunity cost appears through lease rent, sale proceeds and g x L, as the PLAN convention requires.</t>
  </si>
  <si>
    <t xml:space="preserve">No farm accounts exist. This is a benchmark screen, not a forecast. Crops (and tea) are not modelled. Lorry hire income is zero in all headline cases.</t>
  </si>
  <si>
    <t xml:space="preserve">Stress limit gate uses literal B12 cash basis (depreciation added back); the v1 basis (OMBM) is shown as a memo on B12.</t>
  </si>
  <si>
    <t xml:space="preserve">Input counts by tag (live):</t>
  </si>
  <si>
    <t xml:space="preserve">SOURCED</t>
  </si>
  <si>
    <t xml:space="preserve">BENCHMARK</t>
  </si>
  <si>
    <t xml:space="preserve">ASSUMED</t>
  </si>
  <si>
    <t xml:space="preserve">OWNER-REPORTED</t>
  </si>
  <si>
    <t xml:space="preserve">Total inputs</t>
  </si>
  <si>
    <t xml:space="preserve">Poultry check: standing birds (should be 2,270)</t>
  </si>
  <si>
    <t xml:space="preserve">Poultry slot-margin check (should be 0)</t>
  </si>
  <si>
    <t xml:space="preserve">Scenario summary: Low (adverse) / Base / High (favourable). KES with USD for base. Poultry corrected to 2,270 birds.</t>
  </si>
  <si>
    <t xml:space="preserve">Line</t>
  </si>
  <si>
    <t xml:space="preserve">Unit</t>
  </si>
  <si>
    <t xml:space="preserve">Low (adverse)</t>
  </si>
  <si>
    <t xml:space="preserve">Base</t>
  </si>
  <si>
    <t xml:space="preserve">High (favourable)</t>
  </si>
  <si>
    <t xml:space="preserve">Base in USD</t>
  </si>
  <si>
    <t xml:space="preserve">Note</t>
  </si>
  <si>
    <t xml:space="preserve">Revenue and margin</t>
  </si>
  <si>
    <t xml:space="preserve">Revenue</t>
  </si>
  <si>
    <t xml:space="preserve">KES</t>
  </si>
  <si>
    <t xml:space="preserve">Variable costs</t>
  </si>
  <si>
    <t xml:space="preserve">Gross margin</t>
  </si>
  <si>
    <t xml:space="preserve">Hired labour (3 x 22,000 + statutory + casuals)</t>
  </si>
  <si>
    <t xml:space="preserve">Weekly vet fees</t>
  </si>
  <si>
    <t xml:space="preserve">Lorry net cost (incl. depreciation)</t>
  </si>
  <si>
    <t xml:space="preserve">Labour + fixed costs (all)</t>
  </si>
  <si>
    <t xml:space="preserve">OMBM (lorry as owned)</t>
  </si>
  <si>
    <t xml:space="preserve">OMBM % of revenue</t>
  </si>
  <si>
    <t xml:space="preserve">%</t>
  </si>
  <si>
    <t xml:space="preserve">OMBM if there were no lorry</t>
  </si>
  <si>
    <t xml:space="preserve">Cash margin (before controls)</t>
  </si>
  <si>
    <t xml:space="preserve">Cash margin after controls, stipend and owner travel</t>
  </si>
  <si>
    <t xml:space="preserve">v1 comparison (static values from G1-model-v1.xlsx; v1 had 1,000 birds, 12 acres, KES 533k labour)</t>
  </si>
  <si>
    <t xml:space="preserve">v1 revenue</t>
  </si>
  <si>
    <t xml:space="preserve">v1 gross margin</t>
  </si>
  <si>
    <t xml:space="preserve">v1 hired labour</t>
  </si>
  <si>
    <t xml:space="preserve">v1 OMBM</t>
  </si>
  <si>
    <t xml:space="preserve">v1 owner-operator B12 value</t>
  </si>
  <si>
    <t xml:space="preserve">Gross margin by enterprise</t>
  </si>
  <si>
    <t xml:space="preserve">Cattle and dairy</t>
  </si>
  <si>
    <t xml:space="preserve">Sheep</t>
  </si>
  <si>
    <t xml:space="preserve">Goats</t>
  </si>
  <si>
    <t xml:space="preserve">Sasso</t>
  </si>
  <si>
    <t xml:space="preserve">Kuroiler</t>
  </si>
  <si>
    <t xml:space="preserve">Rainbow</t>
  </si>
  <si>
    <t xml:space="preserve">Kebro</t>
  </si>
  <si>
    <t xml:space="preserve">Ducks</t>
  </si>
  <si>
    <t xml:space="preserve">Geese</t>
  </si>
  <si>
    <t xml:space="preserve">Turkeys</t>
  </si>
  <si>
    <t xml:space="preserve">Guinea fowl</t>
  </si>
  <si>
    <t xml:space="preserve">Gross margin per task hour</t>
  </si>
  <si>
    <t xml:space="preserve">KES/h</t>
  </si>
  <si>
    <t xml:space="preserve">Four chicken breeds</t>
  </si>
  <si>
    <t xml:space="preserve">Ducks, geese, turkeys, guinea fowl</t>
  </si>
  <si>
    <t xml:space="preserve">Poultry volumes</t>
  </si>
  <si>
    <t xml:space="preserve">Standing birds</t>
  </si>
  <si>
    <t xml:space="preserve">birds</t>
  </si>
  <si>
    <t xml:space="preserve">Egg trays to sell per day</t>
  </si>
  <si>
    <t xml:space="preserve">trays/day</t>
  </si>
  <si>
    <t xml:space="preserve">Live birds to sell per week</t>
  </si>
  <si>
    <t xml:space="preserve">birds/wk</t>
  </si>
  <si>
    <t xml:space="preserve">Purchased feed % of revenue</t>
  </si>
  <si>
    <t xml:space="preserve">Egg share of poultry revenue</t>
  </si>
  <si>
    <t xml:space="preserve">Labour</t>
  </si>
  <si>
    <t xml:space="preserve">FTE required</t>
  </si>
  <si>
    <t xml:space="preserve">FTE</t>
  </si>
  <si>
    <t xml:space="preserve">Utilisation of 3 staff</t>
  </si>
  <si>
    <t xml:space="preserve">Labour % of revenue</t>
  </si>
  <si>
    <t xml:space="preserve">Gross margin / (labour + fixed costs)</t>
  </si>
  <si>
    <t xml:space="preserve">x</t>
  </si>
  <si>
    <t xml:space="preserve">Capital and working capital</t>
  </si>
  <si>
    <t xml:space="preserve">Total capital</t>
  </si>
  <si>
    <t xml:space="preserve">Capital excl. land</t>
  </si>
  <si>
    <t xml:space="preserve">Land value (opportunity cost)</t>
  </si>
  <si>
    <t xml:space="preserve">K (operating capital at risk)</t>
  </si>
  <si>
    <t xml:space="preserve">Peak funding need over 18 months (cash sheet)</t>
  </si>
  <si>
    <t xml:space="preserve">Cumulative cash after 18 months</t>
  </si>
  <si>
    <t xml:space="preserve">B12 values (annual after-risk income)</t>
  </si>
  <si>
    <t xml:space="preserve">Self-run (PLAN generic)</t>
  </si>
  <si>
    <t xml:space="preserve">Owner-operator, lorry kept</t>
  </si>
  <si>
    <t xml:space="preserve">Owner-operator, lorry sold</t>
  </si>
  <si>
    <t xml:space="preserve">Lease</t>
  </si>
  <si>
    <t xml:space="preserve">Sale</t>
  </si>
  <si>
    <t xml:space="preserve">Winner, ranking A (all options)</t>
  </si>
  <si>
    <t xml:space="preserve">text</t>
  </si>
  <si>
    <t xml:space="preserve">Winner, ranking B (executable now)</t>
  </si>
  <si>
    <t xml:space="preserve">B12 outcome</t>
  </si>
  <si>
    <t xml:space="preserve">Stress: option 2 worst-case net cash flow</t>
  </si>
  <si>
    <t xml:space="preserve">Stress limit (-10% K)</t>
  </si>
  <si>
    <t xml:space="preserve">Option 2 passes stress (1/0)</t>
  </si>
  <si>
    <t xml:space="preserve">flag</t>
  </si>
  <si>
    <t xml:space="preserve">Memo: stress, v1 basis, passes (1/0)</t>
  </si>
  <si>
    <t xml:space="preserve">Break-even</t>
  </si>
  <si>
    <t xml:space="preserve">OMBM shortfall to B12 value = 0</t>
  </si>
  <si>
    <t xml:space="preserve">OMBM shortfall to cash break-even</t>
  </si>
  <si>
    <t xml:space="preserve">Egg price needed (KES/egg)</t>
  </si>
  <si>
    <t xml:space="preserve">KES/egg</t>
  </si>
  <si>
    <t xml:space="preserve">Live-bird price needed</t>
  </si>
  <si>
    <t xml:space="preserve">KES/bird</t>
  </si>
  <si>
    <t xml:space="preserve">Feed price cut needed</t>
  </si>
  <si>
    <t xml:space="preserve">Gain from selling lorry</t>
  </si>
  <si>
    <t xml:space="preserve">Lorry hire days to cover its own cost</t>
  </si>
  <si>
    <t xml:space="preserve">days</t>
  </si>
  <si>
    <t xml:space="preserve">Owner hours/yr, option 2</t>
  </si>
  <si>
    <t xml:space="preserve">h</t>
  </si>
  <si>
    <t xml:space="preserve">Owner hours/week, option 2</t>
  </si>
  <si>
    <t xml:space="preserve">h/wk</t>
  </si>
  <si>
    <t xml:space="preserve">INPUTS - KES unless stated. Blue = editable input. Tags: SOURCED / BENCHMARK / ASSUMED / OWNER-REPORTED. Low = adverse, High = favourable.</t>
  </si>
  <si>
    <t xml:space="preserve">Parameter</t>
  </si>
  <si>
    <t xml:space="preserve">Tag</t>
  </si>
  <si>
    <t xml:space="preserve">Source / note (accessed 2026-10-15 unless stated)</t>
  </si>
  <si>
    <t xml:space="preserve">General</t>
  </si>
  <si>
    <t xml:space="preserve">Exchange rate</t>
  </si>
  <si>
    <t xml:space="preserve">KES per USD</t>
  </si>
  <si>
    <t xml:space="preserve">CBK indicative rate posted 7 Oct 2026 (centralbank.go.ke via web search; confirm daily rate). Unchanged from v1</t>
  </si>
  <si>
    <t xml:space="preserve">Declared real return on cash proceeds</t>
  </si>
  <si>
    <t xml:space="preserve">% p.a.</t>
  </si>
  <si>
    <t xml:space="preserve">B12 default 2%</t>
  </si>
  <si>
    <t xml:space="preserve">Real change in land value g</t>
  </si>
  <si>
    <t xml:space="preserve">B12 default +1%; no local land-value series found</t>
  </si>
  <si>
    <t xml:space="preserve">Risk charge on capital at risk</t>
  </si>
  <si>
    <t xml:space="preserve">B12 default 3-5%</t>
  </si>
  <si>
    <t xml:space="preserve">Owner hourly shadow price p</t>
  </si>
  <si>
    <t xml:space="preserve">Owner's occupation unknown. Test sensitivity</t>
  </si>
  <si>
    <t xml:space="preserve">Selling cost + tax on sale</t>
  </si>
  <si>
    <t xml:space="preserve">B12 default 5%; accountant to quantify</t>
  </si>
  <si>
    <t xml:space="preserve">Land, structures, water (owner intake update 2)</t>
  </si>
  <si>
    <t xml:space="preserve">Farm area</t>
  </si>
  <si>
    <t xml:space="preserve">acres</t>
  </si>
  <si>
    <t xml:space="preserve">Intake update 2: 23 acres, altitude 1,765-1,790 m. v1 guessed 12. No documents seen</t>
  </si>
  <si>
    <t xml:space="preserve">Land value per acre (opportunity cost / sale value, NOT a cash cost)</t>
  </si>
  <si>
    <t xml:space="preserve">KES/acre</t>
  </si>
  <si>
    <t xml:space="preserve">No Bomet price found again in v2 search. Only a low-authority blog (graduatefarmer.co.ke, 2025) gives 150k remote to 800k+ near Nairobi/main roads. Unchanged from v1; get a valuer figure</t>
  </si>
  <si>
    <t xml:space="preserve">Farm structures, replacement value (houses, stores, fencing, equipment)</t>
  </si>
  <si>
    <t xml:space="preserve">Owner: structures "valued at about KES 2m". AMBIGUOUS whether this is structures only or total capital. Capital sheet shows 2m cannot be total (animals alone exceed it). Treated as structures only</t>
  </si>
  <si>
    <t xml:space="preserve">Depreciation life of structures</t>
  </si>
  <si>
    <t xml:space="preserve">years</t>
  </si>
  <si>
    <t xml:space="preserve">Unchanged from v1. Mixed timber/iron-sheet/block structures likely 10-20 years</t>
  </si>
  <si>
    <t xml:space="preserve">Repairs and maintenance</t>
  </si>
  <si>
    <t xml:space="preserve">% of structures</t>
  </si>
  <si>
    <t xml:space="preserve">Unchanged from v1</t>
  </si>
  <si>
    <t xml:space="preserve">Land rent and county land rates</t>
  </si>
  <si>
    <t xml:space="preserve">KES/yr</t>
  </si>
  <si>
    <t xml:space="preserve">Owner: no land rent or rates payable. Land has opportunity cost only (see B12: lease rent, sale proceeds, g x L)</t>
  </si>
  <si>
    <t xml:space="preserve">Water pans: separate value counted in asset base</t>
  </si>
  <si>
    <t xml:space="preserve">Pans are sunk earthworks; treated as part of the land value to avoid double counting. Owner says "about 8m litres" each: ambiguous (8 million L = 8,000 m3 or 8 m3). Strong water security reported; upkeep inside Water line below</t>
  </si>
  <si>
    <t xml:space="preserve">Lease/sale legally executable now? (1 yes, 0 no/unknown)</t>
  </si>
  <si>
    <t xml:space="preserve">Land searchers confirmed ownership (owner-reported) but title document, freehold status and any Land Control Board consent not seen. 0 keeps lease/sale out of Ranking B; set 1 once a lawyer confirms</t>
  </si>
  <si>
    <t xml:space="preserve">Herd (owner intake; counts confirmed by owner-reported independent count)</t>
  </si>
  <si>
    <t xml:space="preserve">Cattle</t>
  </si>
  <si>
    <t xml:space="preserve">head</t>
  </si>
  <si>
    <t xml:space="preserve">Intake update 2 (who counted and when not stated)</t>
  </si>
  <si>
    <t xml:space="preserve">Sheep (tagged)</t>
  </si>
  <si>
    <t xml:space="preserve">Intake update 2</t>
  </si>
  <si>
    <t xml:space="preserve">TLU factor cattle</t>
  </si>
  <si>
    <t xml:space="preserve">TLU/head</t>
  </si>
  <si>
    <t xml:space="preserve">Standard convention</t>
  </si>
  <si>
    <t xml:space="preserve">TLU factor sheep/goat</t>
  </si>
  <si>
    <t xml:space="preserve">TLU factor poultry</t>
  </si>
  <si>
    <t xml:space="preserve">TLU/bird</t>
  </si>
  <si>
    <t xml:space="preserve">Cattle (assumed dairy-type, 4 cows in milk of 10 head; unchanged from v1)</t>
  </si>
  <si>
    <t xml:space="preserve">Cows in milk</t>
  </si>
  <si>
    <t xml:space="preserve">Herd structure unknown</t>
  </si>
  <si>
    <t xml:space="preserve">Milk per cow per day</t>
  </si>
  <si>
    <t xml:space="preserve">L</t>
  </si>
  <si>
    <t xml:space="preserve">Measure</t>
  </si>
  <si>
    <t xml:space="preserve">Days in milk per year per cow</t>
  </si>
  <si>
    <t xml:space="preserve">Farm-gate milk price</t>
  </si>
  <si>
    <t xml:space="preserve">KES/L</t>
  </si>
  <si>
    <t xml:space="preserve">Brookside/New KCC ~37 (Business Daily, undated); KCC Sotik 41-43 (KNA). Dates unconfirmed</t>
  </si>
  <si>
    <t xml:space="preserve">Cooling, transport, levies</t>
  </si>
  <si>
    <t xml:space="preserve">Dairy meal per cow in milk per day</t>
  </si>
  <si>
    <t xml:space="preserve">kg</t>
  </si>
  <si>
    <t xml:space="preserve">Dairy meal price</t>
  </si>
  <si>
    <t xml:space="preserve">KES/kg</t>
  </si>
  <si>
    <t xml:space="preserve">Derived from layers mash 3,900/70 kg (Capital FM Nov 25)</t>
  </si>
  <si>
    <t xml:space="preserve">Purchased hay/forage per head</t>
  </si>
  <si>
    <t xml:space="preserve">KES/head/yr</t>
  </si>
  <si>
    <t xml:space="preserve">Depends on own fodder; 23 acres may allow more own fodder than v1 assumed 12</t>
  </si>
  <si>
    <t xml:space="preserve">Minerals and salt per head</t>
  </si>
  <si>
    <t xml:space="preserve">Drugs, AI, acaricide per head (excl. weekly vet visit fee)</t>
  </si>
  <si>
    <t xml:space="preserve">Replace with vet quote</t>
  </si>
  <si>
    <t xml:space="preserve">Cattle sold per year</t>
  </si>
  <si>
    <t xml:space="preserve">Price per head sold</t>
  </si>
  <si>
    <t xml:space="preserve">KMC 140-180 KES/kg live (kenyanews.go.ke Feb 2026) x ~250 kg</t>
  </si>
  <si>
    <t xml:space="preserve">Mortality/loss</t>
  </si>
  <si>
    <t xml:space="preserve">% of herd value</t>
  </si>
  <si>
    <t xml:space="preserve">Value per head (capital)</t>
  </si>
  <si>
    <t xml:space="preserve">Sheep (40 breeding ewes of 50; unchanged from v1)</t>
  </si>
  <si>
    <t xml:space="preserve">Breeding ewes</t>
  </si>
  <si>
    <t xml:space="preserve">Lambs weaned per ewe per year</t>
  </si>
  <si>
    <t xml:space="preserve">no.</t>
  </si>
  <si>
    <t xml:space="preserve">Replacement rate of ewes</t>
  </si>
  <si>
    <t xml:space="preserve">Sale weight</t>
  </si>
  <si>
    <t xml:space="preserve">kg live</t>
  </si>
  <si>
    <t xml:space="preserve">~30 kg avg (Springer Pastoralism study); older data</t>
  </si>
  <si>
    <t xml:space="preserve">Price</t>
  </si>
  <si>
    <t xml:space="preserve">KES/kg live</t>
  </si>
  <si>
    <t xml:space="preserve">KMC 200-210/kg (Garissa, Feb 2026); Selina Wamucii ~280/kg aggregated</t>
  </si>
  <si>
    <t xml:space="preserve">Supplement/feed per head</t>
  </si>
  <si>
    <t xml:space="preserve">Drugs, deworm, dip, vaccines per head (sheep and goats)</t>
  </si>
  <si>
    <t xml:space="preserve">Minerals per head</t>
  </si>
  <si>
    <t xml:space="preserve">Selling cost (transport, commission)</t>
  </si>
  <si>
    <t xml:space="preserve">% of revenue</t>
  </si>
  <si>
    <t xml:space="preserve">Value per head</t>
  </si>
  <si>
    <t xml:space="preserve">Goats (8 does of 10; unchanged from v1)</t>
  </si>
  <si>
    <t xml:space="preserve">Breeding does</t>
  </si>
  <si>
    <t xml:space="preserve">Kids weaned per doe per year</t>
  </si>
  <si>
    <t xml:space="preserve">Replacement rate</t>
  </si>
  <si>
    <t xml:space="preserve">~30 kg adult avg (Springer)</t>
  </si>
  <si>
    <t xml:space="preserve">KMC 210-220/kg (Feb 2026 Garissa offer)</t>
  </si>
  <si>
    <t xml:space="preserve">Supplement per head</t>
  </si>
  <si>
    <t xml:space="preserve">Poultry: shared prices and costs</t>
  </si>
  <si>
    <t xml:space="preserve">Layers mash (used for adult hens) per 70 kg bag</t>
  </si>
  <si>
    <t xml:space="preserve">KES/bag</t>
  </si>
  <si>
    <t xml:space="preserve">Sh3,900-4,000 (Capital FM / Kenyan Wall Street, ~Nov 2025); Sh4,500 in Feb 2023 (The Star). No 2026 price found in v2 search</t>
  </si>
  <si>
    <t xml:space="preserve">Chick/grower mash per 70 kg bag (growers, replacement pullets)</t>
  </si>
  <si>
    <t xml:space="preserve">Chick mash 3,900 to 4,600 (Capital FM Nov 25); Sh4,940 Feb 2023 (The Star). Grower assumed between</t>
  </si>
  <si>
    <t xml:space="preserve">Egg transport and marketing</t>
  </si>
  <si>
    <t xml:space="preserve">% of egg revenue</t>
  </si>
  <si>
    <t xml:space="preserve">Egg packaging/handling per tray of 30</t>
  </si>
  <si>
    <t xml:space="preserve">KES/tray</t>
  </si>
  <si>
    <t xml:space="preserve">Live-bird and spent-hen selling cost</t>
  </si>
  <si>
    <t xml:space="preserve">Brooding fuel/bedding per chick started</t>
  </si>
  <si>
    <t xml:space="preserve">KES/chick</t>
  </si>
  <si>
    <t xml:space="preserve">New in v2: charcoal/gas/bedding for brooding</t>
  </si>
  <si>
    <t xml:space="preserve">Months of feed and drug stores on hand at start</t>
  </si>
  <si>
    <t xml:space="preserve">months</t>
  </si>
  <si>
    <t xml:space="preserve">Owner: feed and drug stores last 6 months for each breed. Quantities not verified</t>
  </si>
  <si>
    <t xml:space="preserve">Poultry: Sasso</t>
  </si>
  <si>
    <t xml:space="preserve">Sasso: standing birds</t>
  </si>
  <si>
    <t xml:space="preserve">Intake update 2 (poultry total 2,270 after coordinator arithmetic correction; intake file says 2,770). Age/production stage not stated</t>
  </si>
  <si>
    <t xml:space="preserve">Sasso: share of standing flock kept as laying hens</t>
  </si>
  <si>
    <t xml:space="preserve">Structure choice, not a forecast. Age/stage unknown. See Mix sheet for 0-100%. No breed-specific source found for Sasso/Kuroiler/Rainbow/Kebro; the four breeds carry IDENTICAL parameters until breed-level data are measured. Age/stage not stated by owner</t>
  </si>
  <si>
    <t xml:space="preserve">Sasso: eggs per hen per year</t>
  </si>
  <si>
    <t xml:space="preserve">eggs</t>
  </si>
  <si>
    <t xml:space="preserve">Improved kienyeji semi-intensive; breeder claims higher, not verified</t>
  </si>
  <si>
    <t xml:space="preserve">Sasso: breakage/rejects</t>
  </si>
  <si>
    <t xml:space="preserve">Sasso: farm-gate price per egg</t>
  </si>
  <si>
    <t xml:space="preserve">Indigenous egg retail Sh540-750/tray (Business Daily, ~2024), exotic Sh400-600; farm gate ~400/tray exotic (Nation); Nation ~Jul 2026 retail spot Sh504-720/tray. Base 450/tray = 25% haircut on indigenous retail floor</t>
  </si>
  <si>
    <t xml:space="preserve">Sasso: feed per laying hen per day (full ration)</t>
  </si>
  <si>
    <t xml:space="preserve">g</t>
  </si>
  <si>
    <t xml:space="preserve">Standard layer intake 110-120 g</t>
  </si>
  <si>
    <t xml:space="preserve">Sasso: share of hen ration supplied by forage/scavenging</t>
  </si>
  <si>
    <t xml:space="preserve">Depends on range, stocking density and season</t>
  </si>
  <si>
    <t xml:space="preserve">Sasso: hens culled per year (share of hen slots)</t>
  </si>
  <si>
    <t xml:space="preserve">About 15-month laying cycle</t>
  </si>
  <si>
    <t xml:space="preserve">Sasso: spent hen price</t>
  </si>
  <si>
    <t xml:space="preserve">v1 used 350 for exotic layers</t>
  </si>
  <si>
    <t xml:space="preserve">Sasso: hen mortality per year</t>
  </si>
  <si>
    <t xml:space="preserve">Sasso: rearing mortality of replacement chicks</t>
  </si>
  <si>
    <t xml:space="preserve">Sasso: feed per replacement pullet to point of lay (full ration)</t>
  </si>
  <si>
    <t xml:space="preserve">Sasso: drugs/vaccines per laying hen per year</t>
  </si>
  <si>
    <t xml:space="preserve">Weekly vet visit fee is a separate line</t>
  </si>
  <si>
    <t xml:space="preserve">Sasso: grower batches per year per grower slot</t>
  </si>
  <si>
    <t xml:space="preserve">About 5-month grow-out plus clean-out</t>
  </si>
  <si>
    <t xml:space="preserve">Sasso: mortality to sale (growers)</t>
  </si>
  <si>
    <t xml:space="preserve">Sasso: total feed per grower to sale (full ration)</t>
  </si>
  <si>
    <t xml:space="preserve">Slow-growing improved kienyeji, FCR 3.5-4 to ~2.8 kg</t>
  </si>
  <si>
    <t xml:space="preserve">Sasso: share of grower ration supplied by forage/scavenging</t>
  </si>
  <si>
    <t xml:space="preserve">Sasso: farm-gate price per live bird</t>
  </si>
  <si>
    <t xml:space="preserve">Mature kienyeji Sh900-1,500 retail (BeyondForest 2026), Sh600-1,200 dressed (Huduma 2026); farm-gate haircut applied (same as v1)</t>
  </si>
  <si>
    <t xml:space="preserve">Sasso: day-old chick cost</t>
  </si>
  <si>
    <t xml:space="preserve">Day-old improved kienyeji Sh90-140; Kenbro ~Sh115, Kenchic broiler ~Sh105 (BeyondForest 2025-26 guides). v1 used 170</t>
  </si>
  <si>
    <t xml:space="preserve">Sasso: drugs/vaccines per chick started</t>
  </si>
  <si>
    <t xml:space="preserve">Vaccination programme; owner says birds already vaccinated</t>
  </si>
  <si>
    <t xml:space="preserve">Sasso: value per bird (capital)</t>
  </si>
  <si>
    <t xml:space="preserve">Poultry: Kuroiler</t>
  </si>
  <si>
    <t xml:space="preserve">Kuroiler: standing birds</t>
  </si>
  <si>
    <t xml:space="preserve">Kuroiler: share of standing flock kept as laying hens</t>
  </si>
  <si>
    <t xml:space="preserve">Kuroiler: eggs per hen per year</t>
  </si>
  <si>
    <t xml:space="preserve">Kuroiler: breakage/rejects</t>
  </si>
  <si>
    <t xml:space="preserve">Kuroiler: farm-gate price per egg</t>
  </si>
  <si>
    <t xml:space="preserve">Kuroiler: feed per laying hen per day (full ration)</t>
  </si>
  <si>
    <t xml:space="preserve">Kuroiler: share of hen ration supplied by forage/scavenging</t>
  </si>
  <si>
    <t xml:space="preserve">Kuroiler: hens culled per year (share of hen slots)</t>
  </si>
  <si>
    <t xml:space="preserve">Kuroiler: spent hen price</t>
  </si>
  <si>
    <t xml:space="preserve">Kuroiler: hen mortality per year</t>
  </si>
  <si>
    <t xml:space="preserve">Kuroiler: rearing mortality of replacement chicks</t>
  </si>
  <si>
    <t xml:space="preserve">Kuroiler: feed per replacement pullet to point of lay (full ration)</t>
  </si>
  <si>
    <t xml:space="preserve">Kuroiler: drugs/vaccines per laying hen per year</t>
  </si>
  <si>
    <t xml:space="preserve">Kuroiler: grower batches per year per grower slot</t>
  </si>
  <si>
    <t xml:space="preserve">Kuroiler: mortality to sale (growers)</t>
  </si>
  <si>
    <t xml:space="preserve">Kuroiler: total feed per grower to sale (full ration)</t>
  </si>
  <si>
    <t xml:space="preserve">Kuroiler: share of grower ration supplied by forage/scavenging</t>
  </si>
  <si>
    <t xml:space="preserve">Kuroiler: farm-gate price per live bird</t>
  </si>
  <si>
    <t xml:space="preserve">Kuroiler: day-old chick cost</t>
  </si>
  <si>
    <t xml:space="preserve">Kuroiler: drugs/vaccines per chick started</t>
  </si>
  <si>
    <t xml:space="preserve">Kuroiler: value per bird (capital)</t>
  </si>
  <si>
    <t xml:space="preserve">Poultry: Rainbow</t>
  </si>
  <si>
    <t xml:space="preserve">Rainbow: standing birds</t>
  </si>
  <si>
    <t xml:space="preserve">Rainbow: share of standing flock kept as laying hens</t>
  </si>
  <si>
    <t xml:space="preserve">Rainbow: eggs per hen per year</t>
  </si>
  <si>
    <t xml:space="preserve">Rainbow: breakage/rejects</t>
  </si>
  <si>
    <t xml:space="preserve">Rainbow: farm-gate price per egg</t>
  </si>
  <si>
    <t xml:space="preserve">Rainbow: feed per laying hen per day (full ration)</t>
  </si>
  <si>
    <t xml:space="preserve">Rainbow: share of hen ration supplied by forage/scavenging</t>
  </si>
  <si>
    <t xml:space="preserve">Rainbow: hens culled per year (share of hen slots)</t>
  </si>
  <si>
    <t xml:space="preserve">Rainbow: spent hen price</t>
  </si>
  <si>
    <t xml:space="preserve">Rainbow: hen mortality per year</t>
  </si>
  <si>
    <t xml:space="preserve">Rainbow: rearing mortality of replacement chicks</t>
  </si>
  <si>
    <t xml:space="preserve">Rainbow: feed per replacement pullet to point of lay (full ration)</t>
  </si>
  <si>
    <t xml:space="preserve">Rainbow: drugs/vaccines per laying hen per year</t>
  </si>
  <si>
    <t xml:space="preserve">Rainbow: grower batches per year per grower slot</t>
  </si>
  <si>
    <t xml:space="preserve">Rainbow: mortality to sale (growers)</t>
  </si>
  <si>
    <t xml:space="preserve">Rainbow: total feed per grower to sale (full ration)</t>
  </si>
  <si>
    <t xml:space="preserve">Rainbow: share of grower ration supplied by forage/scavenging</t>
  </si>
  <si>
    <t xml:space="preserve">Rainbow: farm-gate price per live bird</t>
  </si>
  <si>
    <t xml:space="preserve">Rainbow: day-old chick cost</t>
  </si>
  <si>
    <t xml:space="preserve">Rainbow: drugs/vaccines per chick started</t>
  </si>
  <si>
    <t xml:space="preserve">Rainbow: value per bird (capital)</t>
  </si>
  <si>
    <t xml:space="preserve">Poultry: Kebro</t>
  </si>
  <si>
    <t xml:space="preserve">Kebro: standing birds</t>
  </si>
  <si>
    <t xml:space="preserve">Kebro: share of standing flock kept as laying hens</t>
  </si>
  <si>
    <t xml:space="preserve">Kebro: eggs per hen per year</t>
  </si>
  <si>
    <t xml:space="preserve">Kebro: breakage/rejects</t>
  </si>
  <si>
    <t xml:space="preserve">Kebro: farm-gate price per egg</t>
  </si>
  <si>
    <t xml:space="preserve">Kebro: feed per laying hen per day (full ration)</t>
  </si>
  <si>
    <t xml:space="preserve">Kebro: share of hen ration supplied by forage/scavenging</t>
  </si>
  <si>
    <t xml:space="preserve">Kebro: hens culled per year (share of hen slots)</t>
  </si>
  <si>
    <t xml:space="preserve">Kebro: spent hen price</t>
  </si>
  <si>
    <t xml:space="preserve">Kebro: hen mortality per year</t>
  </si>
  <si>
    <t xml:space="preserve">Kebro: rearing mortality of replacement chicks</t>
  </si>
  <si>
    <t xml:space="preserve">Kebro: feed per replacement pullet to point of lay (full ration)</t>
  </si>
  <si>
    <t xml:space="preserve">Kebro: drugs/vaccines per laying hen per year</t>
  </si>
  <si>
    <t xml:space="preserve">Kebro: grower batches per year per grower slot</t>
  </si>
  <si>
    <t xml:space="preserve">Kebro: mortality to sale (growers)</t>
  </si>
  <si>
    <t xml:space="preserve">Kebro: total feed per grower to sale (full ration)</t>
  </si>
  <si>
    <t xml:space="preserve">Kebro: share of grower ration supplied by forage/scavenging</t>
  </si>
  <si>
    <t xml:space="preserve">Kebro: farm-gate price per live bird</t>
  </si>
  <si>
    <t xml:space="preserve">Kebro: day-old chick cost</t>
  </si>
  <si>
    <t xml:space="preserve">Kebro: drugs/vaccines per chick started</t>
  </si>
  <si>
    <t xml:space="preserve">Kebro: value per bird (capital)</t>
  </si>
  <si>
    <t xml:space="preserve">Poultry: Ducks</t>
  </si>
  <si>
    <t xml:space="preserve">Ducks: standing birds</t>
  </si>
  <si>
    <t xml:space="preserve">Ducks: share kept as laying hens (eggs not modelled)</t>
  </si>
  <si>
    <t xml:space="preserve">Egg sales from this species not modelled</t>
  </si>
  <si>
    <t xml:space="preserve">Ducks: eggs per hen per year (not used)</t>
  </si>
  <si>
    <t xml:space="preserve">Not modelled for this species</t>
  </si>
  <si>
    <t xml:space="preserve">Ducks: breakage (not used)</t>
  </si>
  <si>
    <t xml:space="preserve">Ducks: egg price (not used)</t>
  </si>
  <si>
    <t xml:space="preserve">Ducks: hen feed per day (not used)</t>
  </si>
  <si>
    <t xml:space="preserve">Ducks: hen forage share (not used)</t>
  </si>
  <si>
    <t xml:space="preserve">Ducks: hens culled per year (not used)</t>
  </si>
  <si>
    <t xml:space="preserve">Ducks: spent hen price (not used)</t>
  </si>
  <si>
    <t xml:space="preserve">Ducks: hen mortality (not used)</t>
  </si>
  <si>
    <t xml:space="preserve">Ducks: rearing mortality (not used)</t>
  </si>
  <si>
    <t xml:space="preserve">Ducks: replacement feed (not used)</t>
  </si>
  <si>
    <t xml:space="preserve">Ducks: hen drugs (not used)</t>
  </si>
  <si>
    <t xml:space="preserve">Ducks: grower batches per year per slot</t>
  </si>
  <si>
    <t xml:space="preserve">Ducks: mortality to sale</t>
  </si>
  <si>
    <t xml:space="preserve">Ducks: total feed per bird to sale (full ration)</t>
  </si>
  <si>
    <t xml:space="preserve">Ducks: share supplied by forage/grazing</t>
  </si>
  <si>
    <t xml:space="preserve">Ducks: farm-gate price per live bird</t>
  </si>
  <si>
    <t xml:space="preserve">Mature duck Sh1,000-1,500 (Mwananchi) to Sh1,500-2,000 (Standard); undated asking prices. Base is below the floor of that range for thin-market haircut</t>
  </si>
  <si>
    <t xml:space="preserve">Ducks: chick/duckling/gosling/poult/keet cost</t>
  </si>
  <si>
    <t xml:space="preserve">Hatchery quote needed. Poults/keets ~Sh300 reported by one farmer (Nation, undated)</t>
  </si>
  <si>
    <t xml:space="preserve">Ducks: drugs/vaccines per bird started</t>
  </si>
  <si>
    <t xml:space="preserve">Ducks: value per bird (capital)</t>
  </si>
  <si>
    <t xml:space="preserve">Poultry: Geese</t>
  </si>
  <si>
    <t xml:space="preserve">Geese: standing birds</t>
  </si>
  <si>
    <t xml:space="preserve">Geese: share kept as laying hens (eggs not modelled)</t>
  </si>
  <si>
    <t xml:space="preserve">Geese: eggs per hen per year (not used)</t>
  </si>
  <si>
    <t xml:space="preserve">Geese: breakage (not used)</t>
  </si>
  <si>
    <t xml:space="preserve">Geese: egg price (not used)</t>
  </si>
  <si>
    <t xml:space="preserve">Geese: hen feed per day (not used)</t>
  </si>
  <si>
    <t xml:space="preserve">Geese: hen forage share (not used)</t>
  </si>
  <si>
    <t xml:space="preserve">Geese: hens culled per year (not used)</t>
  </si>
  <si>
    <t xml:space="preserve">Geese: spent hen price (not used)</t>
  </si>
  <si>
    <t xml:space="preserve">Geese: hen mortality (not used)</t>
  </si>
  <si>
    <t xml:space="preserve">Geese: rearing mortality (not used)</t>
  </si>
  <si>
    <t xml:space="preserve">Geese: replacement feed (not used)</t>
  </si>
  <si>
    <t xml:space="preserve">Geese: hen drugs (not used)</t>
  </si>
  <si>
    <t xml:space="preserve">Geese: grower batches per year per slot</t>
  </si>
  <si>
    <t xml:space="preserve">Geese: mortality to sale</t>
  </si>
  <si>
    <t xml:space="preserve">Geese: total feed per bird to sale (full ration)</t>
  </si>
  <si>
    <t xml:space="preserve">Geese: share supplied by forage/grazing</t>
  </si>
  <si>
    <t xml:space="preserve">Geese: farm-gate price per live bird</t>
  </si>
  <si>
    <t xml:space="preserve">Adult 4 kg goose Sh4,000-5,000 (Standard, undated); base is a 30% thin-market/seasonal haircut (Christmas peak)</t>
  </si>
  <si>
    <t xml:space="preserve">Geese: chick/duckling/gosling/poult/keet cost</t>
  </si>
  <si>
    <t xml:space="preserve">Geese: drugs/vaccines per bird started</t>
  </si>
  <si>
    <t xml:space="preserve">Geese: value per bird (capital)</t>
  </si>
  <si>
    <t xml:space="preserve">Poultry: Turkeys</t>
  </si>
  <si>
    <t xml:space="preserve">Turkeys: standing birds</t>
  </si>
  <si>
    <t xml:space="preserve">Turkeys: share kept as laying hens (eggs not modelled)</t>
  </si>
  <si>
    <t xml:space="preserve">Turkeys: eggs per hen per year (not used)</t>
  </si>
  <si>
    <t xml:space="preserve">Turkeys: breakage (not used)</t>
  </si>
  <si>
    <t xml:space="preserve">Turkeys: egg price (not used)</t>
  </si>
  <si>
    <t xml:space="preserve">Turkeys: hen feed per day (not used)</t>
  </si>
  <si>
    <t xml:space="preserve">Turkeys: hen forage share (not used)</t>
  </si>
  <si>
    <t xml:space="preserve">Turkeys: hens culled per year (not used)</t>
  </si>
  <si>
    <t xml:space="preserve">Turkeys: spent hen price (not used)</t>
  </si>
  <si>
    <t xml:space="preserve">Turkeys: hen mortality (not used)</t>
  </si>
  <si>
    <t xml:space="preserve">Turkeys: rearing mortality (not used)</t>
  </si>
  <si>
    <t xml:space="preserve">Turkeys: replacement feed (not used)</t>
  </si>
  <si>
    <t xml:space="preserve">Turkeys: hen drugs (not used)</t>
  </si>
  <si>
    <t xml:space="preserve">Turkeys: grower batches per year per slot</t>
  </si>
  <si>
    <t xml:space="preserve">Turkeys: mortality to sale</t>
  </si>
  <si>
    <t xml:space="preserve">Turkeys: total feed per bird to sale (full ration)</t>
  </si>
  <si>
    <t xml:space="preserve">Turkeys: share supplied by forage/grazing</t>
  </si>
  <si>
    <t xml:space="preserve">Turkeys: farm-gate price per live bird</t>
  </si>
  <si>
    <t xml:space="preserve">Adult turkey Sh3,000-4,500 (Nation farm profile; Eldoret farmer; Jiji asking Sh4,500), undated; poults ~Sh300</t>
  </si>
  <si>
    <t xml:space="preserve">Turkeys: chick/duckling/gosling/poult/keet cost</t>
  </si>
  <si>
    <t xml:space="preserve">Turkeys: drugs/vaccines per bird started</t>
  </si>
  <si>
    <t xml:space="preserve">Turkeys: value per bird (capital)</t>
  </si>
  <si>
    <t xml:space="preserve">Poultry: Guinea fowl</t>
  </si>
  <si>
    <t xml:space="preserve">Guinea fowl: standing birds</t>
  </si>
  <si>
    <t xml:space="preserve">Guinea fowl: share kept as laying hens (eggs not modelled)</t>
  </si>
  <si>
    <t xml:space="preserve">Guinea fowl: eggs per hen per year (not used)</t>
  </si>
  <si>
    <t xml:space="preserve">Guinea fowl: breakage (not used)</t>
  </si>
  <si>
    <t xml:space="preserve">Guinea fowl: egg price (not used)</t>
  </si>
  <si>
    <t xml:space="preserve">Guinea fowl: hen feed per day (not used)</t>
  </si>
  <si>
    <t xml:space="preserve">Guinea fowl: hen forage share (not used)</t>
  </si>
  <si>
    <t xml:space="preserve">Guinea fowl: hens culled per year (not used)</t>
  </si>
  <si>
    <t xml:space="preserve">Guinea fowl: spent hen price (not used)</t>
  </si>
  <si>
    <t xml:space="preserve">Guinea fowl: hen mortality (not used)</t>
  </si>
  <si>
    <t xml:space="preserve">Guinea fowl: rearing mortality (not used)</t>
  </si>
  <si>
    <t xml:space="preserve">Guinea fowl: replacement feed (not used)</t>
  </si>
  <si>
    <t xml:space="preserve">Guinea fowl: hen drugs (not used)</t>
  </si>
  <si>
    <t xml:space="preserve">Guinea fowl: grower batches per year per slot</t>
  </si>
  <si>
    <t xml:space="preserve">Guinea fowl: mortality to sale</t>
  </si>
  <si>
    <t xml:space="preserve">Guinea fowl: total feed per bird to sale (full ration)</t>
  </si>
  <si>
    <t xml:space="preserve">Guinea fowl: share supplied by forage/grazing</t>
  </si>
  <si>
    <t xml:space="preserve">Guinea fowl: farm-gate price per live bird</t>
  </si>
  <si>
    <t xml:space="preserve">Search shows Sh2,500-3,500 (Standard, Nation, Jiji, Mwananchi: breeders/ornamental/asking). Base 1,200 is a &gt;50% haircut for a thin meat market; v1 used 850. Treat as ASSUMED</t>
  </si>
  <si>
    <t xml:space="preserve">Guinea fowl: chick/duckling/gosling/poult/keet cost</t>
  </si>
  <si>
    <t xml:space="preserve">Guinea fowl: drugs/vaccines per bird started</t>
  </si>
  <si>
    <t xml:space="preserve">Guinea fowl: value per bird (capital)</t>
  </si>
  <si>
    <t xml:space="preserve">Labour (owner intake update 2)</t>
  </si>
  <si>
    <t xml:space="preserve">Legal minimum: unskilled farm worker</t>
  </si>
  <si>
    <t xml:space="preserve">KES/month</t>
  </si>
  <si>
    <t xml:space="preserve">Agricultural Industry (Amendment) Order 2024, LN 163/2024, in force 1 Nov 2024 (wageindicator.org; capitalfm.africa). A newer order may exist</t>
  </si>
  <si>
    <t xml:space="preserve">Legal minimum: stockman/herdsman</t>
  </si>
  <si>
    <t xml:space="preserve">Same</t>
  </si>
  <si>
    <t xml:space="preserve">Legal minimum: farm foreman/clerk</t>
  </si>
  <si>
    <t xml:space="preserve">Pay: staff 1</t>
  </si>
  <si>
    <t xml:space="preserve">Owner: KES 22,000/month each, written contracts and task cards issued (not seen)</t>
  </si>
  <si>
    <t xml:space="preserve">Pay: staff 2 (a relative of the owner)</t>
  </si>
  <si>
    <t xml:space="preserve">Owner: one of the three is a relative; which one not stated, so staff 2 used as placeholder</t>
  </si>
  <si>
    <t xml:space="preserve">Pay: staff 3</t>
  </si>
  <si>
    <t xml:space="preserve">Employer NSSF</t>
  </si>
  <si>
    <t xml:space="preserve">% of pay</t>
  </si>
  <si>
    <t xml:space="preserve">6% employer, limits 9,000-108,000 from Feb 2026 (capitalfm.africa; cmadvocates.com)</t>
  </si>
  <si>
    <t xml:space="preserve">Employer housing levy</t>
  </si>
  <si>
    <t xml:space="preserve">1.5% employer match; not verified. Accountant to confirm</t>
  </si>
  <si>
    <t xml:space="preserve">NITA levy</t>
  </si>
  <si>
    <t xml:space="preserve">KES/employee/month</t>
  </si>
  <si>
    <t xml:space="preserve">Confirm</t>
  </si>
  <si>
    <t xml:space="preserve">Casual relief days per year (leave, peaks)</t>
  </si>
  <si>
    <t xml:space="preserve">Casual day rate</t>
  </si>
  <si>
    <t xml:space="preserve">KES/day</t>
  </si>
  <si>
    <t xml:space="preserve">Legal daily minimum unskilled ~335 (Capital FM)</t>
  </si>
  <si>
    <t xml:space="preserve">Normal weekly hours</t>
  </si>
  <si>
    <t xml:space="preserve">WageIndicator agricultural order summary</t>
  </si>
  <si>
    <t xml:space="preserve">Productive weeks per person per year</t>
  </si>
  <si>
    <t xml:space="preserve">weeks</t>
  </si>
  <si>
    <t xml:space="preserve">Leave and holidays</t>
  </si>
  <si>
    <t xml:space="preserve">Task hours/day: cattle and dairy</t>
  </si>
  <si>
    <t xml:space="preserve">h/day</t>
  </si>
  <si>
    <t xml:space="preserve">Replace with time log</t>
  </si>
  <si>
    <t xml:space="preserve">Task hours/day: sheep</t>
  </si>
  <si>
    <t xml:space="preserve">Task hours/day: goats</t>
  </si>
  <si>
    <t xml:space="preserve">Task hours/day per 100 poultry (feed, water, eggs, cleaning, brooding)</t>
  </si>
  <si>
    <t xml:space="preserve">h/day/100 birds</t>
  </si>
  <si>
    <t xml:space="preserve">v1 implied ~0.4 per 100 birds. Dominant labour driver at 2,270 birds. Measure</t>
  </si>
  <si>
    <t xml:space="preserve">Task hours/day: water, fodder, repairs, marketing</t>
  </si>
  <si>
    <t xml:space="preserve">Appointed vet visits per year</t>
  </si>
  <si>
    <t xml:space="preserve">visits</t>
  </si>
  <si>
    <t xml:space="preserve">Owner: appointed vet visits weekly; records exist (not seen)</t>
  </si>
  <si>
    <t xml:space="preserve">Vet fee per visit (professional fee only; drugs are in enterprise lines)</t>
  </si>
  <si>
    <t xml:space="preserve">KES/visit</t>
  </si>
  <si>
    <t xml:space="preserve">No quote. Possible partial overlap with per-head drug lines. Get the vet's actual retainer</t>
  </si>
  <si>
    <t xml:space="preserve">Farm-level fixed costs</t>
  </si>
  <si>
    <t xml:space="preserve">Water and power (pumping, pan upkeep, brooders)</t>
  </si>
  <si>
    <t xml:space="preserve">Pans refilled by rain (owner-reported). Unchanged from v1</t>
  </si>
  <si>
    <t xml:space="preserve">Transport and communications (excl. lorry)</t>
  </si>
  <si>
    <t xml:space="preserve">Unchanged from v1. Lorry sheet credits the share it replaces</t>
  </si>
  <si>
    <t xml:space="preserve">Licences, permits, county cess</t>
  </si>
  <si>
    <t xml:space="preserve">Livestock/poultry insurance</t>
  </si>
  <si>
    <t xml:space="preserve">% of stock value</t>
  </si>
  <si>
    <t xml:space="preserve">Not in base</t>
  </si>
  <si>
    <t xml:space="preserve">Cash float held as working capital (months of labour and fixed cash costs)</t>
  </si>
  <si>
    <t xml:space="preserve">Opening cash in bank and farm vault</t>
  </si>
  <si>
    <t xml:space="preserve">Owner reported a bank account and a vault with cash; amounts unknown. 0 shows peak funding need</t>
  </si>
  <si>
    <t xml:space="preserve">Lorry (12-tonne; owner intake update 2). Value, licences, use and driver not stated</t>
  </si>
  <si>
    <t xml:space="preserve">Lorry market value</t>
  </si>
  <si>
    <t xml:space="preserve">No price sourced (search found no Kenyan listing). Owner to give purchase cost, year, make. 12-tonne may be GVW not payload</t>
  </si>
  <si>
    <t xml:space="preserve">Residual value at end of life</t>
  </si>
  <si>
    <t xml:space="preserve">% of value</t>
  </si>
  <si>
    <t xml:space="preserve">Economic life</t>
  </si>
  <si>
    <t xml:space="preserve">Comprehensive insurance</t>
  </si>
  <si>
    <t xml:space="preserve">No quote found. Commercial vehicles typically 3-6% of value; third-party-only is cheaper but leaves the asset uninsured</t>
  </si>
  <si>
    <t xml:space="preserve">NTSA annual inspection, heavy commercial &gt;5 t</t>
  </si>
  <si>
    <t xml:space="preserve">KNA notice: Sh4,600 for heavy commercial over 5 t; page date unclear. Earlier draft rules Sh3,500 (kenyans.co.ke). Commercial vehicles inspected annually</t>
  </si>
  <si>
    <t xml:space="preserve">Licence, speed governor, GPS tracker subscription, driver-licence upkeep</t>
  </si>
  <si>
    <t xml:space="preserve">Goods vehicle licence, tracker subscription (control given owner is &gt;300 km away), driver licence renewal</t>
  </si>
  <si>
    <t xml:space="preserve">Fixed maintenance (servicing, battery, brakes) even if parked</t>
  </si>
  <si>
    <t xml:space="preserve">Variable maintenance (tyres, oil, repairs)</t>
  </si>
  <si>
    <t xml:space="preserve">KES/km</t>
  </si>
  <si>
    <t xml:space="preserve">Six large tyres alone are ~KES 200k per 50-60k km</t>
  </si>
  <si>
    <t xml:space="preserve">Fuel consumption (loaded, mixed roads)</t>
  </si>
  <si>
    <t xml:space="preserve">km/L</t>
  </si>
  <si>
    <t xml:space="preserve">Kenyan dealer review: 5-7 km/L (4HK1) and 3-5 km/L (6HK1, heavy) (carimports.co.ke review of 2019 Isuzu Forward)</t>
  </si>
  <si>
    <t xml:space="preserve">Diesel pump price at Borut</t>
  </si>
  <si>
    <t xml:space="preserve">EPRA 15 Sep-14 Oct 2026 cycle: Nairobi Sh217.86, Kisumu Sh218.08 (kenyans.co.ke, Oct 2026 summary); rural uplift assumed. 8% VAT on fuel extended to Oct 2026 may change</t>
  </si>
  <si>
    <t xml:space="preserve">Own-farm use: kilometres per year</t>
  </si>
  <si>
    <t xml:space="preserve">km</t>
  </si>
  <si>
    <t xml:space="preserve">Feed hauls, sales runs. A 12 t lorry is oversized for eggs and small stock</t>
  </si>
  <si>
    <t xml:space="preserve">Own-farm use: driver days per year (ad hoc driver)</t>
  </si>
  <si>
    <t xml:space="preserve">Unknown whether any of the 3 staff holds a heavy (class C/CE) licence</t>
  </si>
  <si>
    <t xml:space="preserve">Driver day rate</t>
  </si>
  <si>
    <t xml:space="preserve">WageIndicator 2026: heavy truck drivers KES 22,469-61,097/month net at entry (≈ 860-2,350/day)</t>
  </si>
  <si>
    <t xml:space="preserve">Share of the transport line the lorry replaces (credit)</t>
  </si>
  <si>
    <t xml:space="preserve">Hire days per year (external hire income)</t>
  </si>
  <si>
    <t xml:space="preserve">ZERO in all headline cases: no source or demand evidence for hire income. Lorry sheet shows break-even days</t>
  </si>
  <si>
    <t xml:space="preserve">Gross revenue per hire day (illustrative, used only if hire days &gt; 0)</t>
  </si>
  <si>
    <t xml:space="preserve">Illustration only. Evidence points: local cargo minimum Sh225/km (Business Daily 2023); 13 t tangerine load Sh110,000 per trip, 10 t potatoes Sh44,000 (Nation, undated). Get 3 written quotes</t>
  </si>
  <si>
    <t xml:space="preserve">Kilometres per hire day (loaded plus empty return)</t>
  </si>
  <si>
    <t xml:space="preserve">Driver cost per hire day</t>
  </si>
  <si>
    <t xml:space="preserve">Options: owner hours, set-up, lease, sale</t>
  </si>
  <si>
    <t xml:space="preserve">Owner hours/yr, PLAN generic self-run (yr 1)</t>
  </si>
  <si>
    <t xml:space="preserve">h/yr</t>
  </si>
  <si>
    <t xml:space="preserve">PLAN section 5 (~390, range 330-450)</t>
  </si>
  <si>
    <t xml:space="preserve">Owner remote hours/week, simplified owner-operator</t>
  </si>
  <si>
    <t xml:space="preserve">Photos, tallies, M-Pesa review</t>
  </si>
  <si>
    <t xml:space="preserve">Owner site visits per year</t>
  </si>
  <si>
    <t xml:space="preserve">Owner &gt;300 km from farm</t>
  </si>
  <si>
    <t xml:space="preserve">Hours per visit incl. travel</t>
  </si>
  <si>
    <t xml:space="preserve">&gt;300 km each way: about 6-7 hours driving each way plus time on farm. v1 used 8</t>
  </si>
  <si>
    <t xml:space="preserve">Cash cost per visit (fuel or fare, lodging)</t>
  </si>
  <si>
    <t xml:space="preserve">New in v2</t>
  </si>
  <si>
    <t xml:space="preserve">Owner finance/admin hours/week</t>
  </si>
  <si>
    <t xml:space="preserve">Owner hours/yr under lease</t>
  </si>
  <si>
    <t xml:space="preserve">PLAN decision sheet 20-40 h/yr</t>
  </si>
  <si>
    <t xml:space="preserve">Set-up cost, PLAN generic self-run</t>
  </si>
  <si>
    <t xml:space="preserve">KES total</t>
  </si>
  <si>
    <t xml:space="preserve">Set-up cost, simplified owner-operator</t>
  </si>
  <si>
    <t xml:space="preserve">Records, phone, contract review</t>
  </si>
  <si>
    <t xml:space="preserve">Amortisation years</t>
  </si>
  <si>
    <t xml:space="preserve">B12 default 4</t>
  </si>
  <si>
    <t xml:space="preserve">Transition: lawyer and tenant/operator search (lease/sale)</t>
  </si>
  <si>
    <t xml:space="preserve">Staff notice/severance if lease or sale</t>
  </si>
  <si>
    <t xml:space="preserve">months of pay</t>
  </si>
  <si>
    <t xml:space="preserve">Labour law, lawyer</t>
  </si>
  <si>
    <t xml:space="preserve">Lease rent</t>
  </si>
  <si>
    <t xml:space="preserve">KES/acre/yr</t>
  </si>
  <si>
    <t xml:space="preserve">Sh6,000-10,000 per acre (Nation, undated); a blog gives Sh10,000-30,000 rural (graduatefarmer.co.ke, 2025). Higher with poultry buildings</t>
  </si>
  <si>
    <t xml:space="preserve">Landlord-retained costs under lease (insurance, repairs; no rates)</t>
  </si>
  <si>
    <t xml:space="preserve">Unchanged from v1 (rates are now nil, so this may be slightly high)</t>
  </si>
  <si>
    <t xml:space="preserve">Cattle (annual, KES). All cells are live formulas from Inputs.</t>
  </si>
  <si>
    <t xml:space="preserve">Production</t>
  </si>
  <si>
    <t xml:space="preserve">Milk sold</t>
  </si>
  <si>
    <t xml:space="preserve">L/yr</t>
  </si>
  <si>
    <t xml:space="preserve">Milk revenue</t>
  </si>
  <si>
    <t xml:space="preserve">Cattle sales</t>
  </si>
  <si>
    <t xml:space="preserve">Total revenue</t>
  </si>
  <si>
    <t xml:space="preserve">Dairy meal</t>
  </si>
  <si>
    <t xml:space="preserve">Purchased forage</t>
  </si>
  <si>
    <t xml:space="preserve">Minerals</t>
  </si>
  <si>
    <t xml:space="preserve">Drugs, AI, acaricide</t>
  </si>
  <si>
    <t xml:space="preserve">Milk cooling, transport, levies</t>
  </si>
  <si>
    <t xml:space="preserve">Mortality/loss allowance</t>
  </si>
  <si>
    <t xml:space="preserve">Total variable costs</t>
  </si>
  <si>
    <t xml:space="preserve">Gross margin (before labour and fixed costs)</t>
  </si>
  <si>
    <t xml:space="preserve">Gross margin per head</t>
  </si>
  <si>
    <t xml:space="preserve">KES/head</t>
  </si>
  <si>
    <t xml:space="preserve">Stock capital</t>
  </si>
  <si>
    <t xml:space="preserve">Memo: purchased feed and forage</t>
  </si>
  <si>
    <t xml:space="preserve">Memo: drugs and vet inputs</t>
  </si>
  <si>
    <t xml:space="preserve">Sheep (annual, KES). All cells are live formulas from Inputs.</t>
  </si>
  <si>
    <t xml:space="preserve">Lambs/hoggets sold (weaned less replacements)</t>
  </si>
  <si>
    <t xml:space="preserve">Sale price per head</t>
  </si>
  <si>
    <t xml:space="preserve">Sales revenue</t>
  </si>
  <si>
    <t xml:space="preserve">Supplement/feed</t>
  </si>
  <si>
    <t xml:space="preserve">Drugs, deworm, dip, vaccines</t>
  </si>
  <si>
    <t xml:space="preserve">Selling cost</t>
  </si>
  <si>
    <t xml:space="preserve">Memo: purchased feed</t>
  </si>
  <si>
    <t xml:space="preserve">Goats (annual, KES). All cells are live formulas from Inputs.</t>
  </si>
  <si>
    <t xml:space="preserve">Kids sold (weaned less replacements)</t>
  </si>
  <si>
    <t xml:space="preserve">Drugs, deworm, vaccines</t>
  </si>
  <si>
    <t xml:space="preserve">Poultry (annual, KES). All cells are live formulas from Inputs.</t>
  </si>
  <si>
    <t xml:space="preserve">Laying hens (hen slots)</t>
  </si>
  <si>
    <t xml:space="preserve">Grower slots</t>
  </si>
  <si>
    <t xml:space="preserve">Saleable eggs</t>
  </si>
  <si>
    <t xml:space="preserve">eggs/yr</t>
  </si>
  <si>
    <t xml:space="preserve">Egg revenue</t>
  </si>
  <si>
    <t xml:space="preserve">Spent hens sold</t>
  </si>
  <si>
    <t xml:space="preserve">Spent hen revenue</t>
  </si>
  <si>
    <t xml:space="preserve">Grower birds started per year</t>
  </si>
  <si>
    <t xml:space="preserve">Grower birds sold</t>
  </si>
  <si>
    <t xml:space="preserve">Live-bird revenue</t>
  </si>
  <si>
    <t xml:space="preserve">Replacement pullets needed (culls + deaths)</t>
  </si>
  <si>
    <t xml:space="preserve">Replacement chicks bought (allowing rearing mortality)</t>
  </si>
  <si>
    <t xml:space="preserve">Chicks bought (replacements + growers)</t>
  </si>
  <si>
    <t xml:space="preserve">Feed: laying hens</t>
  </si>
  <si>
    <t xml:space="preserve">Feed: replacement pullets</t>
  </si>
  <si>
    <t xml:space="preserve">Feed: growers</t>
  </si>
  <si>
    <t xml:space="preserve">Drugs and vaccines</t>
  </si>
  <si>
    <t xml:space="preserve">Brooding fuel and bedding</t>
  </si>
  <si>
    <t xml:space="preserve">Egg packaging</t>
  </si>
  <si>
    <t xml:space="preserve">Selling costs</t>
  </si>
  <si>
    <t xml:space="preserve">Gross margin per standing bird</t>
  </si>
  <si>
    <t xml:space="preserve">Unit margin per hen slot (per year)</t>
  </si>
  <si>
    <t xml:space="preserve">Unit margin per grower slot (per year)</t>
  </si>
  <si>
    <t xml:space="preserve">Check: slot margins reproduce gross margin (should be 0)</t>
  </si>
  <si>
    <t xml:space="preserve">Totals, all poultry</t>
  </si>
  <si>
    <t xml:space="preserve">Standing birds (all species)</t>
  </si>
  <si>
    <t xml:space="preserve">Standing birds, four chicken breeds</t>
  </si>
  <si>
    <t xml:space="preserve">Laying hens, all species</t>
  </si>
  <si>
    <t xml:space="preserve">Egg trays (30) to sell per day</t>
  </si>
  <si>
    <t xml:space="preserve">Live birds sold (growers + spent hens)</t>
  </si>
  <si>
    <t xml:space="preserve">birds/yr</t>
  </si>
  <si>
    <t xml:space="preserve">Live-bird revenue (growers + spent hens)</t>
  </si>
  <si>
    <t xml:space="preserve">Total poultry revenue</t>
  </si>
  <si>
    <t xml:space="preserve">Total poultry variable costs</t>
  </si>
  <si>
    <t xml:space="preserve">Total poultry gross margin</t>
  </si>
  <si>
    <t xml:space="preserve">Gross margin, four chicken breeds</t>
  </si>
  <si>
    <t xml:space="preserve">Gross margin, ducks + geese + turkeys + guinea fowl</t>
  </si>
  <si>
    <t xml:space="preserve">Purchased poultry feed</t>
  </si>
  <si>
    <t xml:space="preserve">Purchased feed as % of poultry revenue</t>
  </si>
  <si>
    <t xml:space="preserve">Stock capital, all poultry</t>
  </si>
  <si>
    <t xml:space="preserve">Sum of check rows (should be 0)</t>
  </si>
  <si>
    <t xml:space="preserve">Mix (annual, KES). All cells are live formulas from Inputs.</t>
  </si>
  <si>
    <t xml:space="preserve">Hen share applied to all four chicken breeds (others unchanged). Other columns hold B12 option 2 value at that mix</t>
  </si>
  <si>
    <t xml:space="preserve">Hen share 0% of chicken flock</t>
  </si>
  <si>
    <t xml:space="preserve">Chicken gross margin at 0% hens</t>
  </si>
  <si>
    <t xml:space="preserve">Egg trays to sell per day (chickens only)</t>
  </si>
  <si>
    <t xml:space="preserve">Grower birds to sell per week (chickens only)</t>
  </si>
  <si>
    <t xml:space="preserve">Farm OMBM at this mix</t>
  </si>
  <si>
    <t xml:space="preserve">B12 owner-operator value at this mix</t>
  </si>
  <si>
    <t xml:space="preserve">Hen share 20% of chicken flock</t>
  </si>
  <si>
    <t xml:space="preserve">Chicken gross margin at 20% hens</t>
  </si>
  <si>
    <t xml:space="preserve">Hen share 40% of chicken flock</t>
  </si>
  <si>
    <t xml:space="preserve">Chicken gross margin at 40% hens</t>
  </si>
  <si>
    <t xml:space="preserve">Hen share 60% of chicken flock</t>
  </si>
  <si>
    <t xml:space="preserve">Chicken gross margin at 60% hens</t>
  </si>
  <si>
    <t xml:space="preserve">Hen share 80% of chicken flock</t>
  </si>
  <si>
    <t xml:space="preserve">Chicken gross margin at 80% hens</t>
  </si>
  <si>
    <t xml:space="preserve">Hen share 100% of chicken flock</t>
  </si>
  <si>
    <t xml:space="preserve">Chicken gross margin at 100% hens</t>
  </si>
  <si>
    <t xml:space="preserve">Labour (annual, KES). All cells are live formulas from Inputs.</t>
  </si>
  <si>
    <t xml:space="preserve">Pay (owner-reported KES 22,000 each; one is a relative)</t>
  </si>
  <si>
    <t xml:space="preserve">Staff 1</t>
  </si>
  <si>
    <t xml:space="preserve">Staff 2 (relative; placeholder)</t>
  </si>
  <si>
    <t xml:space="preserve">Staff 3</t>
  </si>
  <si>
    <t xml:space="preserve">Pay as multiple of legal stockman minimum (each)</t>
  </si>
  <si>
    <t xml:space="preserve">Foreman/clerk minimum is higher: see next row</t>
  </si>
  <si>
    <t xml:space="preserve">Pay as multiple of legal foreman/clerk minimum</t>
  </si>
  <si>
    <t xml:space="preserve">Annual cost</t>
  </si>
  <si>
    <t xml:space="preserve">Basic pay (x12)</t>
  </si>
  <si>
    <t xml:space="preserve">Employer NSSF + housing levy + NITA</t>
  </si>
  <si>
    <t xml:space="preserve">Casual relief labour (leave, peaks)</t>
  </si>
  <si>
    <t xml:space="preserve">Task hours required per year</t>
  </si>
  <si>
    <t xml:space="preserve">Productive hours per person per year</t>
  </si>
  <si>
    <t xml:space="preserve">Hours beyond the 3 staff (to be covered by extra casuals)</t>
  </si>
  <si>
    <t xml:space="preserve">Extra casual labour for hours beyond 3 staff</t>
  </si>
  <si>
    <t xml:space="preserve">Total hired labour cost</t>
  </si>
  <si>
    <t xml:space="preserve">Monthly basic pay bill</t>
  </si>
  <si>
    <t xml:space="preserve">All-in cost per staff member per month (incl. statutory)</t>
  </si>
  <si>
    <t xml:space="preserve">Minimum people for 7-day cover (1 on site, 5.5-day weeks)</t>
  </si>
  <si>
    <t xml:space="preserve">Poultry per staff member</t>
  </si>
  <si>
    <t xml:space="preserve">Hired labour as % of revenue</t>
  </si>
  <si>
    <t xml:space="preserve">Hired labour as % of gross margin</t>
  </si>
  <si>
    <t xml:space="preserve">Gross margin covers labour + vet fees + fixed costs? (GM / total)</t>
  </si>
  <si>
    <t xml:space="preserve">Lorry (annual, KES). All cells are live formulas from Inputs.</t>
  </si>
  <si>
    <t xml:space="preserve">Standing costs (incurred whether or not the lorry moves)</t>
  </si>
  <si>
    <t xml:space="preserve">Lorry value</t>
  </si>
  <si>
    <t xml:space="preserve">Depreciation ((value - residual) / life)</t>
  </si>
  <si>
    <t xml:space="preserve">Non-cash, but the real cost of ownership</t>
  </si>
  <si>
    <t xml:space="preserve">NTSA annual inspection</t>
  </si>
  <si>
    <t xml:space="preserve">Licence, governor, GPS tracker, driver licence upkeep</t>
  </si>
  <si>
    <t xml:space="preserve">Fixed maintenance</t>
  </si>
  <si>
    <t xml:space="preserve">Standing cash costs</t>
  </si>
  <si>
    <t xml:space="preserve">Standing cost incl. depreciation</t>
  </si>
  <si>
    <t xml:space="preserve">Own-farm use (feed, sales runs)</t>
  </si>
  <si>
    <t xml:space="preserve">Fuel</t>
  </si>
  <si>
    <t xml:space="preserve">Driver (ad hoc days)</t>
  </si>
  <si>
    <t xml:space="preserve">Own-use running cost</t>
  </si>
  <si>
    <t xml:space="preserve">Credit: transport the lorry replaces</t>
  </si>
  <si>
    <t xml:space="preserve">External hire (zero in headline: no source for demand or rates)</t>
  </si>
  <si>
    <t xml:space="preserve">Hire days</t>
  </si>
  <si>
    <t xml:space="preserve">Hire revenue</t>
  </si>
  <si>
    <t xml:space="preserve">Hire running cost (fuel, maintenance, driver)</t>
  </si>
  <si>
    <t xml:space="preserve">Net hire contribution</t>
  </si>
  <si>
    <t xml:space="preserve">Net effect on the farm</t>
  </si>
  <si>
    <t xml:space="preserve">Net lorry cost to OMBM (standing + running - credit - hire)</t>
  </si>
  <si>
    <t xml:space="preserve">Net lorry cash cost (excl. depreciation)</t>
  </si>
  <si>
    <t xml:space="preserve">Net lorry cost as % of poultry+livestock gross margin</t>
  </si>
  <si>
    <t xml:space="preserve">Break-even hire (illustrative revenue per day from Inputs)</t>
  </si>
  <si>
    <t xml:space="preserve">Net contribution per hire day (revenue - fuel - maintenance - driver)</t>
  </si>
  <si>
    <t xml:space="preserve">Hire days per year to cover the lorry economically (incl. depreciation)</t>
  </si>
  <si>
    <t xml:space="preserve">Hire days per year to cover cash costs only</t>
  </si>
  <si>
    <t xml:space="preserve">Break-even hire days as % of a 250-day working year</t>
  </si>
  <si>
    <t xml:space="preserve">Net lorry cost to OMBM if hired 0 days a year at illustrative rate</t>
  </si>
  <si>
    <t xml:space="preserve">Net lorry cost to OMBM if hired 25 days a year at illustrative rate</t>
  </si>
  <si>
    <t xml:space="preserve">Net lorry cost to OMBM if hired 50 days a year at illustrative rate</t>
  </si>
  <si>
    <t xml:space="preserve">Net lorry cost to OMBM if hired 100 days a year at illustrative rate</t>
  </si>
  <si>
    <t xml:space="preserve">Net lorry cost to OMBM if hired 150 days a year at illustrative rate</t>
  </si>
  <si>
    <t xml:space="preserve">Net lorry cost to OMBM if hired 200 days a year at illustrative rate</t>
  </si>
  <si>
    <t xml:space="preserve">Sell the lorry instead</t>
  </si>
  <si>
    <t xml:space="preserve">Net sale proceeds (after selling cost)</t>
  </si>
  <si>
    <t xml:space="preserve">Return on proceeds at declared real return</t>
  </si>
  <si>
    <t xml:space="preserve">Annual gain from selling (cost saved + return on proceeds)</t>
  </si>
  <si>
    <t xml:space="preserve">Capital (annual, KES). All cells are live formulas from Inputs.</t>
  </si>
  <si>
    <t xml:space="preserve">Capital base from owner data (market / replacement values, mostly ASSUMED)</t>
  </si>
  <si>
    <t xml:space="preserve">Land: acres x price per acre</t>
  </si>
  <si>
    <t xml:space="preserve">Owned outright; opportunity cost only</t>
  </si>
  <si>
    <t xml:space="preserve">Water pans (sunk; inside land value)</t>
  </si>
  <si>
    <t xml:space="preserve">Farm structures</t>
  </si>
  <si>
    <t xml:space="preserve">Poultry</t>
  </si>
  <si>
    <t xml:space="preserve">All animals</t>
  </si>
  <si>
    <t xml:space="preserve">Lorry</t>
  </si>
  <si>
    <t xml:space="preserve">Feed and drug stores on hand</t>
  </si>
  <si>
    <t xml:space="preserve">TOTAL capital (land + pans + structures + animals + lorry + stores)</t>
  </si>
  <si>
    <t xml:space="preserve">Capital excluding land (the operating base)</t>
  </si>
  <si>
    <t xml:space="preserve">Capital excluding land and lorry</t>
  </si>
  <si>
    <t xml:space="preserve">Ambiguity test: is KES 2m structures only or total capital?</t>
  </si>
  <si>
    <t xml:space="preserve">Land + animals + lorry (everything except structures)</t>
  </si>
  <si>
    <t xml:space="preserve">Could KES 2m be TOTAL capital?</t>
  </si>
  <si>
    <t xml:space="preserve">Animals alone vs KES 2m</t>
  </si>
  <si>
    <t xml:space="preserve">Returns</t>
  </si>
  <si>
    <t xml:space="preserve">OMBM / capital excluding land</t>
  </si>
  <si>
    <t xml:space="preserve">OMBM / total capital</t>
  </si>
  <si>
    <t xml:space="preserve">Land as share of total capital</t>
  </si>
  <si>
    <t xml:space="preserve">Control and management overhead: PLAN generic structure vs right-sized for this farm (KES/yr). ASSUMED quotes, unchanged from v1. Blue = editable.</t>
  </si>
  <si>
    <t xml:space="preserve">Item</t>
  </si>
  <si>
    <t xml:space="preserve">Class</t>
  </si>
  <si>
    <t xml:space="preserve">PLAN generic KES/yr</t>
  </si>
  <si>
    <t xml:space="preserve">Right-sized KES/yr</t>
  </si>
  <si>
    <t xml:space="preserve">Treatment</t>
  </si>
  <si>
    <t xml:space="preserve">Generic USD</t>
  </si>
  <si>
    <t xml:space="preserve">Right-sized USD</t>
  </si>
  <si>
    <t xml:space="preserve">External bookkeeper (remote, monthly)</t>
  </si>
  <si>
    <t xml:space="preserve">Control</t>
  </si>
  <si>
    <t xml:space="preserve">KEEP (non-waivable)</t>
  </si>
  <si>
    <t xml:space="preserve">KES 6k vs 4k per month; owner-only vendor creation, M-Pesa/bank feeds go to owner</t>
  </si>
  <si>
    <t xml:space="preserve">Randomised spot-counts</t>
  </si>
  <si>
    <t xml:space="preserve">KEEP, cheaper</t>
  </si>
  <si>
    <t xml:space="preserve">4 audited counts vs 6 neighbour/para-vet/representative counts, randomised, photo + tally</t>
  </si>
  <si>
    <t xml:space="preserve">Quarterly non-preparer reconciliation + annual accountant review</t>
  </si>
  <si>
    <t xml:space="preserve">KEEP, scaled</t>
  </si>
  <si>
    <t xml:space="preserve">Accountant reviews bookkeeper's M-Pesa/bank reconciliation once a quarter, short annual review</t>
  </si>
  <si>
    <t xml:space="preserve">Consultant agronomist and stockman backstop</t>
  </si>
  <si>
    <t xml:space="preserve">BUY BY THE HOUR</t>
  </si>
  <si>
    <t xml:space="preserve">~6 visits/yr at ~KES 4k, on call, instead of a retainer</t>
  </si>
  <si>
    <t xml:space="preserve">Farm Model upkeep</t>
  </si>
  <si>
    <t xml:space="preserve">DROP</t>
  </si>
  <si>
    <t xml:space="preserve">Owner or bookkeeper maintains this workbook</t>
  </si>
  <si>
    <t xml:space="preserve">Representative / steward</t>
  </si>
  <si>
    <t xml:space="preserve">Trusted unrelated local person with second mandate, KES 3k/month stipend</t>
  </si>
  <si>
    <t xml:space="preserve">Hotline</t>
  </si>
  <si>
    <t xml:space="preserve">WhatsApp/SMS to owner and representative</t>
  </si>
  <si>
    <t xml:space="preserve">Fidelity premium</t>
  </si>
  <si>
    <t xml:space="preserve">Staff do not handle cash; sales proceeds paid to owner till/M-Pesa</t>
  </si>
  <si>
    <t xml:space="preserve">Entity and legal (amortised 3 yrs)</t>
  </si>
  <si>
    <t xml:space="preserve">Lawyer hours: staff contracts, fraud-response one-pager, title/lease advice (separate)</t>
  </si>
  <si>
    <t xml:space="preserve">GSM alarms and sensors (amortised)</t>
  </si>
  <si>
    <t xml:space="preserve">Revisit if layers move to a closed brooder/house</t>
  </si>
  <si>
    <t xml:space="preserve">Data store, geotag/camera tooling (amortised)</t>
  </si>
  <si>
    <t xml:space="preserve">KEEP, cheap</t>
  </si>
  <si>
    <t xml:space="preserve">Smartphone camera + shared sheet + bundles</t>
  </si>
  <si>
    <t xml:space="preserve">Coordinator</t>
  </si>
  <si>
    <t xml:space="preserve">Owner is coordinator at this scale</t>
  </si>
  <si>
    <t xml:space="preserve">External audit</t>
  </si>
  <si>
    <t xml:space="preserve">Replaced by accountant annual review; no statutory audit for sole proprietor</t>
  </si>
  <si>
    <t xml:space="preserve">Ad hoc consultants</t>
  </si>
  <si>
    <t xml:space="preserve">Covered by hourly consultant line above</t>
  </si>
  <si>
    <t xml:space="preserve">Total control-and-oversight cost</t>
  </si>
  <si>
    <t xml:space="preserve">Memo: only the core items (bookkeeper, spot-counts, reconciliation/review, representative, legal)</t>
  </si>
  <si>
    <t xml:space="preserve">Management cost (reported separately, B10)</t>
  </si>
  <si>
    <t xml:space="preserve">Manager (KES 35k/month)</t>
  </si>
  <si>
    <t xml:space="preserve">Management</t>
  </si>
  <si>
    <t xml:space="preserve">Local livestock manager pay assumed; no source. Existing 3 staff + owner replace this</t>
  </si>
  <si>
    <t xml:space="preserve">Deputy (KES 20k/month)</t>
  </si>
  <si>
    <t xml:space="preserve">Assumed</t>
  </si>
  <si>
    <t xml:space="preserve">Supervisor stipend uplift (working supervisor accountable for daily tallies)</t>
  </si>
  <si>
    <t xml:space="preserve">ADD</t>
  </si>
  <si>
    <t xml:space="preserve">KES 6k/month on top of staff 1 pay on Labour sheet, tied to tally completeness</t>
  </si>
  <si>
    <t xml:space="preserve">Total management cost</t>
  </si>
  <si>
    <t xml:space="preserve">TOTAL overhead (controls + management)</t>
  </si>
  <si>
    <t xml:space="preserve">Farm_PnL (annual, KES). All cells are live formulas from Inputs.</t>
  </si>
  <si>
    <t xml:space="preserve">Memo: egg revenue</t>
  </si>
  <si>
    <t xml:space="preserve">Memo: all poultry revenue</t>
  </si>
  <si>
    <t xml:space="preserve">Total gross margin</t>
  </si>
  <si>
    <t xml:space="preserve">Labour and fixed costs</t>
  </si>
  <si>
    <t xml:space="preserve">Hired labour (3 staff at 22,000 + statutory + casuals)</t>
  </si>
  <si>
    <t xml:space="preserve">Appointed vet: weekly visit fees</t>
  </si>
  <si>
    <t xml:space="preserve">Water and power</t>
  </si>
  <si>
    <t xml:space="preserve">Transport and communications</t>
  </si>
  <si>
    <t xml:space="preserve">Licences, permits, cess</t>
  </si>
  <si>
    <t xml:space="preserve">Land rent and rates (owner: nil)</t>
  </si>
  <si>
    <t xml:space="preserve">Repairs and maintenance of structures</t>
  </si>
  <si>
    <t xml:space="preserve">Depreciation of structures</t>
  </si>
  <si>
    <t xml:space="preserve">Stock capital (all species)</t>
  </si>
  <si>
    <t xml:space="preserve">Insurance on stock</t>
  </si>
  <si>
    <t xml:space="preserve">Lorry: net cost (standing + running - credit, depreciation incl.)</t>
  </si>
  <si>
    <t xml:space="preserve">Total labour + fixed costs</t>
  </si>
  <si>
    <t xml:space="preserve">Result</t>
  </si>
  <si>
    <t xml:space="preserve">OMBM: operating margin before management and controls</t>
  </si>
  <si>
    <t xml:space="preserve">B10 definition; owner time excluded (priced in B12); no land rent or rates charged</t>
  </si>
  <si>
    <t xml:space="preserve">OMBM as % of revenue</t>
  </si>
  <si>
    <t xml:space="preserve">OMBM if the lorry did not exist (lorry net cost removed)</t>
  </si>
  <si>
    <t xml:space="preserve">Cash margin (OMBM + non-cash depreciation of structures and lorry)</t>
  </si>
  <si>
    <t xml:space="preserve">Contribution ratio (1 - variable cost / revenue)</t>
  </si>
  <si>
    <t xml:space="preserve">ratio</t>
  </si>
  <si>
    <t xml:space="preserve">Gross margin per task hour (before fixed costs)</t>
  </si>
  <si>
    <t xml:space="preserve">Scale and capital</t>
  </si>
  <si>
    <t xml:space="preserve">Livestock units</t>
  </si>
  <si>
    <t xml:space="preserve">TLU</t>
  </si>
  <si>
    <t xml:space="preserve">Purchased feed and forage</t>
  </si>
  <si>
    <t xml:space="preserve">Purchased feed as % of revenue</t>
  </si>
  <si>
    <t xml:space="preserve">Drugs and vet inputs (stored 6 months)</t>
  </si>
  <si>
    <t xml:space="preserve">Working capital: stores on hand + cash float</t>
  </si>
  <si>
    <t xml:space="preserve">K: operating capital at risk (stock + structures + lorry + working capital)</t>
  </si>
  <si>
    <t xml:space="preserve">K without the lorry</t>
  </si>
  <si>
    <t xml:space="preserve">Land value L (opportunity cost only)</t>
  </si>
  <si>
    <t xml:space="preserve">Asset base (land + structures + stock + lorry)</t>
  </si>
  <si>
    <t xml:space="preserve">Revenue in USD</t>
  </si>
  <si>
    <t xml:space="preserve">USD</t>
  </si>
  <si>
    <t xml:space="preserve">Revenue per acre</t>
  </si>
  <si>
    <t xml:space="preserve">18-month cash flow, owner-operator (lorry kept). Months 1-6 run on the owner-reported 6-month feed and drug stores (no purchases); purchases start in month 7. Opening cash from Inputs. Not income: the stores are the owner's existing inventory.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</si>
  <si>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</si>
  <si>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</si>
  <si>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</si>
  <si>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</si>
  <si>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</si>
  <si>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</si>
  <si>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</si>
  <si>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</si>
  <si>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</si>
  <si>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</si>
  <si>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</si>
  <si>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</si>
  <si>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</si>
  <si>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</si>
  <si>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</si>
  <si>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</si>
  <si>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</si>
  <si>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</si>
  <si>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Total</t>
  </si>
  <si>
    <t xml:space="preserve">Scenario: Low (adverse)</t>
  </si>
  <si>
    <t xml:space="preserve">Revenue (flat monthly; no seasonality)</t>
  </si>
  <si>
    <t xml:space="preserve">Staff pay + statutory + casuals</t>
  </si>
  <si>
    <t xml:space="preserve">Water, transport, licences, repairs, insurance</t>
  </si>
  <si>
    <t xml:space="preserve">Lorry cash costs (net of credit; hire if any)</t>
  </si>
  <si>
    <t xml:space="preserve">Controls + supervisor stipend + owner travel</t>
  </si>
  <si>
    <t xml:space="preserve">Other variable costs (chicks, brooding, packing, selling, minerals, mortality allowance)</t>
  </si>
  <si>
    <t xml:space="preserve">Feed and drugs purchased (nil while 6-month stores last)</t>
  </si>
  <si>
    <t xml:space="preserve">Net cash flow</t>
  </si>
  <si>
    <t xml:space="preserve">Cumulative cash (incl. opening cash)</t>
  </si>
  <si>
    <t xml:space="preserve">Lowest cumulative cash / month of low point</t>
  </si>
  <si>
    <t xml:space="preserve">Scenario: Base</t>
  </si>
  <si>
    <t xml:space="preserve">Scenario: High (favourable)</t>
  </si>
  <si>
    <t xml:space="preserve">Summary (columns C/D/E = Low/Base/High)</t>
  </si>
  <si>
    <t xml:space="preserve">Peak funding need over 18 months (opening cash + lowest cumulative; 0 if never negative)</t>
  </si>
  <si>
    <t xml:space="preserve">Month of lowest cumulative cash</t>
  </si>
  <si>
    <t xml:space="preserve">Average monthly net cash flow in months 7-18 (after stores run out)</t>
  </si>
  <si>
    <t xml:space="preserve">Average monthly net cash flow in months 1-6 (on stores)</t>
  </si>
  <si>
    <t xml:space="preserve">B12 (annual, KES). All cells are live formulas from Inputs.</t>
  </si>
  <si>
    <t xml:space="preserve">Common terms</t>
  </si>
  <si>
    <t xml:space="preserve">K</t>
  </si>
  <si>
    <t xml:space="preserve">g x L (land value change)</t>
  </si>
  <si>
    <t xml:space="preserve">Risk charge r x K</t>
  </si>
  <si>
    <t xml:space="preserve">Option 1: Self-run, PLAN generic structure (manager + deputy + full controls)</t>
  </si>
  <si>
    <t xml:space="preserve">Owner hours</t>
  </si>
  <si>
    <t xml:space="preserve">Controls (generic)</t>
  </si>
  <si>
    <t xml:space="preserve">Manager + deputy</t>
  </si>
  <si>
    <t xml:space="preserve">Set-up / years</t>
  </si>
  <si>
    <t xml:space="preserve">VALUE: self-run generic</t>
  </si>
  <si>
    <t xml:space="preserve">Option 2: Owner-operator, simplified controls, lorry kept (owner &gt;300 km away)</t>
  </si>
  <si>
    <t xml:space="preserve">Owner hours (remote + visits incl. long travel + admin)</t>
  </si>
  <si>
    <t xml:space="preserve">Controls (right-sized)</t>
  </si>
  <si>
    <t xml:space="preserve">Management: supervisor stipend</t>
  </si>
  <si>
    <t xml:space="preserve">Management: owner travel cash cost</t>
  </si>
  <si>
    <t xml:space="preserve">VALUE: owner-operator, lorry kept</t>
  </si>
  <si>
    <t xml:space="preserve">Option 2b: Owner-operator, lorry sold (proceeds earn the declared real return)</t>
  </si>
  <si>
    <t xml:space="preserve">OMBM without lorry</t>
  </si>
  <si>
    <t xml:space="preserve">Risk charge r x K (K without lorry)</t>
  </si>
  <si>
    <t xml:space="preserve">Return on net lorry proceeds</t>
  </si>
  <si>
    <t xml:space="preserve">VALUE: owner-operator, lorry sold</t>
  </si>
  <si>
    <t xml:space="preserve">Option 3: Lease (land and structures; stock, lorry and staff exit)</t>
  </si>
  <si>
    <t xml:space="preserve">Rent (acres x rent per acre)</t>
  </si>
  <si>
    <t xml:space="preserve">Net proceeds of stock and lorry</t>
  </si>
  <si>
    <t xml:space="preserve">Return on those proceeds</t>
  </si>
  <si>
    <t xml:space="preserve">Transition per year</t>
  </si>
  <si>
    <t xml:space="preserve">VALUE: lease</t>
  </si>
  <si>
    <t xml:space="preserve">Option 4: Sale of land, structures, stock and lorry</t>
  </si>
  <si>
    <t xml:space="preserve">Net proceeds after selling cost/tax</t>
  </si>
  <si>
    <t xml:space="preserve">VALUE: sale (return on proceeds)</t>
  </si>
  <si>
    <t xml:space="preserve">Stress test (single-factor; worst of price -20%, inputs +25%, disease -10% output and stock)</t>
  </si>
  <si>
    <t xml:space="preserve">OMBM after price -20%</t>
  </si>
  <si>
    <t xml:space="preserve">OMBM after inputs +25%</t>
  </si>
  <si>
    <t xml:space="preserve">OMBM after disease (-10% output and stock value)</t>
  </si>
  <si>
    <t xml:space="preserve">Worst scenario OMBM</t>
  </si>
  <si>
    <t xml:space="preserve">Stress limit: -10% of K</t>
  </si>
  <si>
    <t xml:space="preserve">Stress limit: -10% of K without lorry</t>
  </si>
  <si>
    <t xml:space="preserve">Non-cash depreciation added back (structures + lorry)</t>
  </si>
  <si>
    <t xml:space="preserve">Net cash flow, option 1, worst scenario (literal B12: cash basis)</t>
  </si>
  <si>
    <t xml:space="preserve">Net cash flow, option 2, worst scenario (cash basis)</t>
  </si>
  <si>
    <t xml:space="preserve">Net cash flow, option 2b, worst scenario (cash basis; lorry costs removed)</t>
  </si>
  <si>
    <t xml:space="preserve">Memo: option 2 worst case on the v1 basis (OMBM, depreciation not added back)</t>
  </si>
  <si>
    <t xml:space="preserve">Option 1 passes stress limit (1/0)</t>
  </si>
  <si>
    <t xml:space="preserve">Option 2 passes stress limit (1/0)</t>
  </si>
  <si>
    <t xml:space="preserve">Option 2b passes stress limit (1/0)</t>
  </si>
  <si>
    <t xml:space="preserve">Memo: option 2 passes on v1 basis (1/0)</t>
  </si>
  <si>
    <t xml:space="preserve">Ranking A: all options (if lease and sale were legally available now)</t>
  </si>
  <si>
    <t xml:space="preserve">Score option 1</t>
  </si>
  <si>
    <t xml:space="preserve">Score option 2</t>
  </si>
  <si>
    <t xml:space="preserve">Score option 2b</t>
  </si>
  <si>
    <t xml:space="preserve">Score option 3</t>
  </si>
  <si>
    <t xml:space="preserve">Score option 4</t>
  </si>
  <si>
    <t xml:space="preserve">Top score</t>
  </si>
  <si>
    <t xml:space="preserve">WINNER (ranking A)</t>
  </si>
  <si>
    <t xml:space="preserve">Ranking B: executable now (lease/sale excluded unless Inputs title_ok = 1)</t>
  </si>
  <si>
    <t xml:space="preserve">Score lease (executable)</t>
  </si>
  <si>
    <t xml:space="preserve">Score sale (executable)</t>
  </si>
  <si>
    <t xml:space="preserve">WINNER (ranking B)</t>
  </si>
  <si>
    <t xml:space="preserve">B12 outcome (ranking B; PLAN step 4/5/6 wording)</t>
  </si>
  <si>
    <t xml:space="preserve">Diagnostics</t>
  </si>
  <si>
    <t xml:space="preserve">Option 2 value as % of asset base</t>
  </si>
  <si>
    <t xml:space="preserve">Lease value as % of asset base</t>
  </si>
  <si>
    <t xml:space="preserve">Sale value as % of asset base</t>
  </si>
  <si>
    <t xml:space="preserve">Flip point g*: real land-value growth at which lease beats sale</t>
  </si>
  <si>
    <t xml:space="preserve">PLAN band cap: 7% of revenue (small band)</t>
  </si>
  <si>
    <t xml:space="preserve">Simplified controls as % of revenue</t>
  </si>
  <si>
    <t xml:space="preserve">Simplified controls fit one-third-of-OMBM test (1/0)</t>
  </si>
  <si>
    <t xml:space="preserve">Simplified controls fit 7% band cap (1/0)</t>
  </si>
  <si>
    <t xml:space="preserve">Generic controls + manager/deputy as % of revenue</t>
  </si>
  <si>
    <t xml:space="preserve">Break-even (variable costs scale with revenue: contribution ratio held)</t>
  </si>
  <si>
    <t xml:space="preserve">Option 2: OMBM needed to pay controls + stipend + travel in cash</t>
  </si>
  <si>
    <t xml:space="preserve">Option 2: OMBM needed for value = 0</t>
  </si>
  <si>
    <t xml:space="preserve">Option 2b: OMBM (ex-lorry) needed for value = 0</t>
  </si>
  <si>
    <t xml:space="preserve">Option 2: revenue for value = 0</t>
  </si>
  <si>
    <t xml:space="preserve">Option 2: break-even revenue as multiple of current</t>
  </si>
  <si>
    <t xml:space="preserve">Option 2: OMBM needed to match lease value</t>
  </si>
  <si>
    <t xml:space="preserve">Gap: OMBM to cash break-even</t>
  </si>
  <si>
    <t xml:space="preserve">Gap: OMBM to B12 value = 0</t>
  </si>
  <si>
    <t xml:space="preserve">Gap: OMBM to match lease</t>
  </si>
  <si>
    <t xml:space="preserve">Gap: OMBM (ex-lorry) to B12 value = 0</t>
  </si>
  <si>
    <t xml:space="preserve">Breakeven (annual, KES). All cells are live formulas from Inputs.</t>
  </si>
  <si>
    <t xml:space="preserve">How far from viable (owner-operator, lorry kept, B12 value = 0)</t>
  </si>
  <si>
    <t xml:space="preserve">One lever at a time (all else at scenario values)</t>
  </si>
  <si>
    <t xml:space="preserve">Average egg farm-gate price now</t>
  </si>
  <si>
    <t xml:space="preserve">Egg price needed</t>
  </si>
  <si>
    <t xml:space="preserve">Egg price needed per tray of 30</t>
  </si>
  <si>
    <t xml:space="preserve">Average live-bird farm-gate price now (growers + spent hens)</t>
  </si>
  <si>
    <t xml:space="preserve">Live-bird price rise needed</t>
  </si>
  <si>
    <t xml:space="preserve">Purchased feed/forage price cut needed</t>
  </si>
  <si>
    <t xml:space="preserve">Feed price cut needed for cash break-even</t>
  </si>
  <si>
    <t xml:space="preserve">Staff pay now (each)</t>
  </si>
  <si>
    <t xml:space="preserve">Staff pay (each) at which B12 value = 0, 3 staff</t>
  </si>
  <si>
    <t xml:space="preserve">Negative means pay cuts alone cannot close the gap</t>
  </si>
  <si>
    <t xml:space="preserve">Legal stockman minimum</t>
  </si>
  <si>
    <t xml:space="preserve">Poultry scale multiple needed (poultry margin per bird constant, labour fixed)</t>
  </si>
  <si>
    <t xml:space="preserve">Ignores egg/bird market depth and extra labour</t>
  </si>
  <si>
    <t xml:space="preserve">Gain from selling the lorry (option 2b minus option 2)</t>
  </si>
  <si>
    <t xml:space="preserve">Lorry hire days needed to cover its own cost (illustrative rate)</t>
  </si>
  <si>
    <t xml:space="preserve">Illustrative stack of restructuring levers, cumulative B12 owner-operator value (not a forecast; each step needs its own evidence)</t>
  </si>
  <si>
    <t xml:space="preserve">Start: owner-operator, lorry kept</t>
  </si>
  <si>
    <t xml:space="preserve">+ sell the lorry (cost saved, proceeds at 2% real)</t>
  </si>
  <si>
    <t xml:space="preserve">+ purchased feed/forage 20% cheaper (own fodder on 23 acres, bulk buying)</t>
  </si>
  <si>
    <t xml:space="preserve">+ run with 2 staff plus extra casuals for the hours gap</t>
  </si>
  <si>
    <t xml:space="preserve">+ egg and live-bird prices both 10% higher</t>
  </si>
  <si>
    <t xml:space="preserve">+ drop supervisor stipend and halve owner visits</t>
  </si>
  <si>
    <t xml:space="preserve">Egg price (rows) x live-bird price (columns) shifts: B12 owner-operator value, KES (selected scenario column)</t>
  </si>
  <si>
    <t xml:space="preserve">Egg -3.0 KES/egg, bird -150 KES/bird</t>
  </si>
  <si>
    <t xml:space="preserve">Egg -3.0 KES/egg, bird -75 KES/bird</t>
  </si>
  <si>
    <t xml:space="preserve">Egg -3.0 KES/egg, bird +0 KES/bird</t>
  </si>
  <si>
    <t xml:space="preserve">Egg -3.0 KES/egg, bird +75 KES/bird</t>
  </si>
  <si>
    <t xml:space="preserve">Egg -3.0 KES/egg, bird +150 KES/bird</t>
  </si>
  <si>
    <t xml:space="preserve">Egg -1.5 KES/egg, bird -150 KES/bird</t>
  </si>
  <si>
    <t xml:space="preserve">Egg -1.5 KES/egg, bird -75 KES/bird</t>
  </si>
  <si>
    <t xml:space="preserve">Egg -1.5 KES/egg, bird +0 KES/bird</t>
  </si>
  <si>
    <t xml:space="preserve">Egg -1.5 KES/egg, bird +75 KES/bird</t>
  </si>
  <si>
    <t xml:space="preserve">Egg -1.5 KES/egg, bird +150 KES/bird</t>
  </si>
  <si>
    <t xml:space="preserve">Egg +0.0 KES/egg, bird -150 KES/bird</t>
  </si>
  <si>
    <t xml:space="preserve">Egg +0.0 KES/egg, bird -75 KES/bird</t>
  </si>
  <si>
    <t xml:space="preserve">Egg +0.0 KES/egg, bird +0 KES/bird</t>
  </si>
  <si>
    <t xml:space="preserve">Egg +0.0 KES/egg, bird +75 KES/bird</t>
  </si>
  <si>
    <t xml:space="preserve">Egg +0.0 KES/egg, bird +150 KES/bird</t>
  </si>
  <si>
    <t xml:space="preserve">Egg +1.5 KES/egg, bird -150 KES/bird</t>
  </si>
  <si>
    <t xml:space="preserve">Egg +1.5 KES/egg, bird -75 KES/bird</t>
  </si>
  <si>
    <t xml:space="preserve">Egg +1.5 KES/egg, bird +0 KES/bird</t>
  </si>
  <si>
    <t xml:space="preserve">Egg +1.5 KES/egg, bird +75 KES/bird</t>
  </si>
  <si>
    <t xml:space="preserve">Egg +1.5 KES/egg, bird +150 KES/bird</t>
  </si>
  <si>
    <t xml:space="preserve">Egg +3.0 KES/egg, bird -150 KES/bird</t>
  </si>
  <si>
    <t xml:space="preserve">Egg +3.0 KES/egg, bird -75 KES/bird</t>
  </si>
  <si>
    <t xml:space="preserve">Egg +3.0 KES/egg, bird +0 KES/bird</t>
  </si>
  <si>
    <t xml:space="preserve">Egg +3.0 KES/egg, bird +75 KES/bird</t>
  </si>
  <si>
    <t xml:space="preserve">Egg +3.0 KES/egg, bird +150 KES/bird</t>
  </si>
  <si>
    <t xml:space="preserve">Purchased feed price change: B12 owner-operator value</t>
  </si>
  <si>
    <t xml:space="preserve">Feed price -20%</t>
  </si>
  <si>
    <t xml:space="preserve">Feed price -10%</t>
  </si>
  <si>
    <t xml:space="preserve">Feed price +0%</t>
  </si>
  <si>
    <t xml:space="preserve">Feed price +10%</t>
  </si>
  <si>
    <t xml:space="preserve">Feed price +20%</t>
  </si>
  <si>
    <t xml:space="preserve">Staff pay: B12 owner-operator value</t>
  </si>
  <si>
    <t xml:space="preserve">Each of 3 staff at KES 12,000/month</t>
  </si>
  <si>
    <t xml:space="preserve">Each of 3 staff at KES 15,000/month</t>
  </si>
  <si>
    <t xml:space="preserve">Each of 3 staff at KES 18,000/month</t>
  </si>
  <si>
    <t xml:space="preserve">Each of 3 staff at KES 22,000/month</t>
  </si>
  <si>
    <t xml:space="preserve">Each of 3 staff at KES 26,000/month</t>
  </si>
  <si>
    <t xml:space="preserve">Data the owner must collect in the first 8 weeks (replaces ASSUMED inputs). Updated for v2: lorry, poultry stage/breed data, vet, vault.</t>
  </si>
  <si>
    <t xml:space="preserve">No.</t>
  </si>
  <si>
    <t xml:space="preserve">Method</t>
  </si>
  <si>
    <t xml:space="preserve">Replaces Inputs rows</t>
  </si>
  <si>
    <t xml:space="preserve">Week</t>
  </si>
  <si>
    <t xml:space="preserve">Independent count by breed/species with age band (chick/grower/pullet/laying/spent) and sex for every house; cattle by class; sheep tags</t>
  </si>
  <si>
    <t xml:space="preserve">Representative or vet counts with photos; signed tally; reconcile to the 2,270 poultry</t>
  </si>
  <si>
    <t xml:space="preserve">*_n, *_h, cows</t>
  </si>
  <si>
    <t xml:space="preserve">Title: copy of title deed or allotment/share certificate, official search, any Land Control Board consent</t>
  </si>
  <si>
    <t xml:space="preserve">Lawyer, registry search</t>
  </si>
  <si>
    <t xml:space="preserve">title_ok, land_p</t>
  </si>
  <si>
    <t xml:space="preserve">Lorry file: logbook, purchase price/year/make/GVW and payload, NTSA inspection, insurance cover note, driver and driver-licence class, GPS tracker, fuel receipts, who holds the keys</t>
  </si>
  <si>
    <t xml:space="preserve">Copies of documents; daily odometer and fuel photo; tracker report</t>
  </si>
  <si>
    <t xml:space="preserve">lor_val, lor_ins, lor_km, lor_dd</t>
  </si>
  <si>
    <t xml:space="preserve">Vault: cash held, who holds keys, count and bank deposit log</t>
  </si>
  <si>
    <t xml:space="preserve">Dual-custody count by representative; weekly deposit</t>
  </si>
  <si>
    <t xml:space="preserve">open_cash, controls</t>
  </si>
  <si>
    <t xml:space="preserve">Acreage by use; grazing, fodder, crops; pan volumes and refill record; pump hours and fuel</t>
  </si>
  <si>
    <t xml:space="preserve">GPS phone app; photos; meter/fuel log</t>
  </si>
  <si>
    <t xml:space="preserve">acres, forage, water</t>
  </si>
  <si>
    <t xml:space="preserve">Staff: contracts, tasks, who is the relative, actual pay, deductions, hours worked</t>
  </si>
  <si>
    <t xml:space="preserve">Interview; payslips; time log</t>
  </si>
  <si>
    <t xml:space="preserve">pay1-3, h_pou, h_cat</t>
  </si>
  <si>
    <t xml:space="preserve">Daily eggs by breed, feed bags opened by type, deaths by breed and age</t>
  </si>
  <si>
    <t xml:space="preserve">Tally sheet at 17:00; photo of bags and trays</t>
  </si>
  <si>
    <t xml:space="preserve">*_eggs, *_hfeed, *_hmort, hen share</t>
  </si>
  <si>
    <t xml:space="preserve">Egg sales: buyer, trays, price per tray, payment method</t>
  </si>
  <si>
    <t xml:space="preserve">Sales book + M-Pesa statement</t>
  </si>
  <si>
    <t xml:space="preserve">*_eggp, egg_mkt</t>
  </si>
  <si>
    <t xml:space="preserve">Live-bird, duck, goose, turkey, guinea-fowl sales: count, live weight, price, buyer</t>
  </si>
  <si>
    <t xml:space="preserve">*_price, *_bat, *_gmort</t>
  </si>
  <si>
    <t xml:space="preserve">Feed: bags, price, supplier; three written quotes; stock count of stores against the 6-month claim</t>
  </si>
  <si>
    <t xml:space="preserve">Receipts; supplier quotes; physical count</t>
  </si>
  <si>
    <t xml:space="preserve">lay_bag, gro_bag, stores_m</t>
  </si>
  <si>
    <t xml:space="preserve">Chicks/poults/keets bought or hatched: source, price, mortality to 4 weeks</t>
  </si>
  <si>
    <t xml:space="preserve">Receipts; mortality tally</t>
  </si>
  <si>
    <t xml:space="preserve">*_chick, *_rmort</t>
  </si>
  <si>
    <t xml:space="preserve">Milk per cow and buyer price; cattle and small-stock sales</t>
  </si>
  <si>
    <t xml:space="preserve">Daily tally; buyer receipts</t>
  </si>
  <si>
    <t xml:space="preserve">mlk_l, milk_p, c_price, sh_price</t>
  </si>
  <si>
    <t xml:space="preserve">Vet: invoices, fee per visit, retainer terms, vaccination records by breed; drug spend</t>
  </si>
  <si>
    <t xml:space="preserve">Vet visit notes; invoices</t>
  </si>
  <si>
    <t xml:space="preserve">vet_fee, vet_n, *_cvet, c_vet</t>
  </si>
  <si>
    <t xml:space="preserve">Staff time log for two typical weeks by enterprise</t>
  </si>
  <si>
    <t xml:space="preserve">Simple daily sheet</t>
  </si>
  <si>
    <t xml:space="preserve">h_pou, h_cat, h_sh, h_gen</t>
  </si>
  <si>
    <t xml:space="preserve">Lorry hire: three written quotes for 12 t hire (per day and per trip) and two named repeat customers; idle days log</t>
  </si>
  <si>
    <t xml:space="preserve">Phone quotes from transporters/brokers; do not count income until a customer pays</t>
  </si>
  <si>
    <t xml:space="preserve">hire_d, hire_rev</t>
  </si>
  <si>
    <t xml:space="preserve">Lease and sale enquiries: two local indications of rent/acre and price/acre; valuer</t>
  </si>
  <si>
    <t xml:space="preserve">Local agents, neighbours</t>
  </si>
  <si>
    <t xml:space="preserve">rent, land_p</t>
  </si>
  <si>
    <t xml:space="preserve">Lender/insurer requirements for the land and the lorry</t>
  </si>
  <si>
    <t xml:space="preserve">Phone SACCO/bank/insurer</t>
  </si>
  <si>
    <t xml:space="preserve">qualitative</t>
  </si>
  <si>
    <t xml:space="preserve">Owner hours and travel log, trip costs; distance and time to farm</t>
  </si>
  <si>
    <t xml:space="preserve">Own log</t>
  </si>
  <si>
    <t xml:space="preserve">o2_rem, o2_vis, o2_vh, o2_vc</t>
  </si>
  <si>
    <t xml:space="preserve">Re-run the model with measured data; apply the week-8 rule in G1-economics-v2.md</t>
  </si>
  <si>
    <t xml:space="preserve">This workbook</t>
  </si>
  <si>
    <t xml:space="preserve">all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</si>
</sst>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"/>
    <numFmt numFmtId="170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DD"/>
        <bgColor rgb="FFF2F2F2"/>
      </patternFill>
    </fill>
    <fill>
      <patternFill patternType="solid">
        <fgColor rgb="FFF2F2F2"/>
        <bgColor rgb="FFDDE7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0" t="s">
        <v>9</v>
      </c>
      <c r="B11" s="0" t="n">
        <f aca="false">COUNTIF(Inputs!$F$3:$F$306,"SOURCED")</f>
        <v>8</v>
      </c>
    </row>
    <row r="12" customFormat="false" ht="15" hidden="false" customHeight="false" outlineLevel="0" collapsed="false">
      <c r="A12" s="0" t="s">
        <v>10</v>
      </c>
      <c r="B12" s="0" t="n">
        <f aca="false">COUNTIF(Inputs!$F$3:$F$306,"BENCHMARK")</f>
        <v>40</v>
      </c>
    </row>
    <row r="13" customFormat="false" ht="15" hidden="false" customHeight="false" outlineLevel="0" collapsed="false">
      <c r="A13" s="0" t="s">
        <v>11</v>
      </c>
      <c r="B13" s="0" t="n">
        <f aca="false">COUNTIF(Inputs!$F$3:$F$306,"ASSUMED")</f>
        <v>217</v>
      </c>
    </row>
    <row r="14" customFormat="false" ht="15" hidden="false" customHeight="false" outlineLevel="0" collapsed="false">
      <c r="A14" s="0" t="s">
        <v>12</v>
      </c>
      <c r="B14" s="0" t="n">
        <f aca="false">COUNTIF(Inputs!$F$3:$F$306,"OWNER-REPORTED")</f>
        <v>19</v>
      </c>
    </row>
    <row r="15" customFormat="false" ht="15" hidden="false" customHeight="false" outlineLevel="0" collapsed="false">
      <c r="A15" s="0" t="s">
        <v>13</v>
      </c>
      <c r="B15" s="0" t="n">
        <f aca="false">SUM(B11:B14)</f>
        <v>284</v>
      </c>
    </row>
    <row r="16" customFormat="false" ht="15" hidden="false" customHeight="false" outlineLevel="0" collapsed="false">
      <c r="A16" s="0" t="s">
        <v>14</v>
      </c>
      <c r="B16" s="2" t="n">
        <f aca="false">Poultry!D244</f>
        <v>2270</v>
      </c>
    </row>
    <row r="17" customFormat="false" ht="15" hidden="false" customHeight="false" outlineLevel="0" collapsed="false">
      <c r="A17" s="0" t="s">
        <v>15</v>
      </c>
      <c r="B17" s="2" t="n">
        <f aca="false">Poultry!D263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24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1" t="s">
        <v>25</v>
      </c>
      <c r="B4" s="6" t="s">
        <v>26</v>
      </c>
      <c r="C4" s="7" t="n">
        <f aca="false">Farm_PnL!C15</f>
        <v>3249336</v>
      </c>
      <c r="D4" s="7" t="n">
        <f aca="false">Farm_PnL!D15</f>
        <v>4854130</v>
      </c>
      <c r="E4" s="7" t="n">
        <f aca="false">Farm_PnL!E15</f>
        <v>6996262.8</v>
      </c>
      <c r="F4" s="2" t="n">
        <f aca="false">D4/Inputs!$D$4</f>
        <v>37371.0832242667</v>
      </c>
    </row>
    <row r="5" customFormat="false" ht="15" hidden="false" customHeight="false" outlineLevel="0" collapsed="false">
      <c r="A5" s="0" t="s">
        <v>27</v>
      </c>
      <c r="B5" s="0" t="s">
        <v>26</v>
      </c>
      <c r="C5" s="2" t="n">
        <f aca="false">Farm_PnL!C31</f>
        <v>5011545.21873016</v>
      </c>
      <c r="D5" s="2" t="n">
        <f aca="false">Farm_PnL!D31</f>
        <v>4035305.18757764</v>
      </c>
      <c r="E5" s="2" t="n">
        <f aca="false">Farm_PnL!E31</f>
        <v>3404827.9615076</v>
      </c>
      <c r="F5" s="2" t="n">
        <f aca="false">D5/Inputs!$D$4</f>
        <v>31067.096678556</v>
      </c>
    </row>
    <row r="6" customFormat="false" ht="15" hidden="false" customHeight="false" outlineLevel="0" collapsed="false">
      <c r="A6" s="0" t="s">
        <v>28</v>
      </c>
      <c r="B6" s="0" t="s">
        <v>26</v>
      </c>
      <c r="C6" s="2" t="n">
        <f aca="false">Farm_PnL!C30</f>
        <v>-1762209.21873016</v>
      </c>
      <c r="D6" s="2" t="n">
        <f aca="false">Farm_PnL!D30</f>
        <v>818824.812422361</v>
      </c>
      <c r="E6" s="2" t="n">
        <f aca="false">Farm_PnL!E30</f>
        <v>3591434.8384924</v>
      </c>
      <c r="F6" s="2" t="n">
        <f aca="false">D6/Inputs!$D$4</f>
        <v>6303.98654571068</v>
      </c>
    </row>
    <row r="7" customFormat="false" ht="15" hidden="false" customHeight="false" outlineLevel="0" collapsed="false">
      <c r="A7" s="0" t="s">
        <v>29</v>
      </c>
      <c r="B7" s="0" t="s">
        <v>26</v>
      </c>
      <c r="C7" s="2" t="n">
        <f aca="false">Farm_PnL!C33</f>
        <v>911684.375</v>
      </c>
      <c r="D7" s="2" t="n">
        <f aca="false">Farm_PnL!D33</f>
        <v>868200</v>
      </c>
      <c r="E7" s="2" t="n">
        <f aca="false">Farm_PnL!E33</f>
        <v>865700</v>
      </c>
      <c r="F7" s="2" t="n">
        <f aca="false">D7/Inputs!$D$4</f>
        <v>6684.1173300485</v>
      </c>
    </row>
    <row r="8" customFormat="false" ht="15" hidden="false" customHeight="false" outlineLevel="0" collapsed="false">
      <c r="A8" s="0" t="s">
        <v>30</v>
      </c>
      <c r="B8" s="0" t="s">
        <v>26</v>
      </c>
      <c r="C8" s="2" t="n">
        <f aca="false">Farm_PnL!C34</f>
        <v>208000</v>
      </c>
      <c r="D8" s="2" t="n">
        <f aca="false">Farm_PnL!D34</f>
        <v>156000</v>
      </c>
      <c r="E8" s="2" t="n">
        <f aca="false">Farm_PnL!E34</f>
        <v>104000</v>
      </c>
      <c r="F8" s="2" t="n">
        <f aca="false">D8/Inputs!$D$4</f>
        <v>1201.01624451459</v>
      </c>
    </row>
    <row r="9" customFormat="false" ht="15" hidden="false" customHeight="false" outlineLevel="0" collapsed="false">
      <c r="A9" s="0" t="s">
        <v>31</v>
      </c>
      <c r="B9" s="0" t="s">
        <v>26</v>
      </c>
      <c r="C9" s="2" t="n">
        <f aca="false">Farm_PnL!C43</f>
        <v>1384475</v>
      </c>
      <c r="D9" s="2" t="n">
        <f aca="false">Farm_PnL!D43</f>
        <v>949433.333333333</v>
      </c>
      <c r="E9" s="2" t="n">
        <f aca="false">Farm_PnL!E43</f>
        <v>691622.727272727</v>
      </c>
      <c r="F9" s="2" t="n">
        <f aca="false">D9/Inputs!$D$4</f>
        <v>7309.51831036518</v>
      </c>
    </row>
    <row r="10" customFormat="false" ht="15" hidden="false" customHeight="false" outlineLevel="0" collapsed="false">
      <c r="A10" s="0" t="s">
        <v>32</v>
      </c>
      <c r="B10" s="0" t="s">
        <v>26</v>
      </c>
      <c r="C10" s="2" t="n">
        <f aca="false">Farm_PnL!C44</f>
        <v>2919159.375</v>
      </c>
      <c r="D10" s="2" t="n">
        <f aca="false">Farm_PnL!D44</f>
        <v>2351633.33333333</v>
      </c>
      <c r="E10" s="2" t="n">
        <f aca="false">Farm_PnL!E44</f>
        <v>2001322.72727273</v>
      </c>
      <c r="F10" s="2" t="n">
        <f aca="false">D10/Inputs!$D$4</f>
        <v>18104.8066312521</v>
      </c>
    </row>
    <row r="11" customFormat="false" ht="15" hidden="false" customHeight="false" outlineLevel="0" collapsed="false">
      <c r="A11" s="1" t="s">
        <v>33</v>
      </c>
      <c r="B11" s="6" t="s">
        <v>26</v>
      </c>
      <c r="C11" s="7" t="n">
        <f aca="false">Farm_PnL!C46</f>
        <v>-4681368.59373016</v>
      </c>
      <c r="D11" s="7" t="n">
        <f aca="false">Farm_PnL!D46</f>
        <v>-1532808.52091097</v>
      </c>
      <c r="E11" s="7" t="n">
        <f aca="false">Farm_PnL!E46</f>
        <v>1590112.11121967</v>
      </c>
      <c r="F11" s="2" t="n">
        <f aca="false">D11/Inputs!$D$4</f>
        <v>-11800.8200855414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8" t="n">
        <f aca="false">Farm_PnL!C47</f>
        <v>-1.44071545501301</v>
      </c>
      <c r="D12" s="8" t="n">
        <f aca="false">Farm_PnL!D47</f>
        <v>-0.31577409770875</v>
      </c>
      <c r="E12" s="8" t="n">
        <f aca="false">Farm_PnL!E47</f>
        <v>0.227280214691145</v>
      </c>
    </row>
    <row r="13" customFormat="false" ht="15" hidden="false" customHeight="false" outlineLevel="0" collapsed="false">
      <c r="A13" s="1" t="s">
        <v>36</v>
      </c>
      <c r="B13" s="6" t="s">
        <v>26</v>
      </c>
      <c r="C13" s="7" t="n">
        <f aca="false">Farm_PnL!C48</f>
        <v>-3296893.59373016</v>
      </c>
      <c r="D13" s="7" t="n">
        <f aca="false">Farm_PnL!D48</f>
        <v>-583375.18757764</v>
      </c>
      <c r="E13" s="7" t="n">
        <f aca="false">Farm_PnL!E48</f>
        <v>2281734.8384924</v>
      </c>
      <c r="F13" s="2" t="n">
        <f aca="false">D13/Inputs!$D$4</f>
        <v>-4491.30177517622</v>
      </c>
    </row>
    <row r="14" customFormat="false" ht="15" hidden="false" customHeight="false" outlineLevel="0" collapsed="false">
      <c r="A14" s="0" t="s">
        <v>37</v>
      </c>
      <c r="B14" s="0" t="s">
        <v>26</v>
      </c>
      <c r="C14" s="2" t="n">
        <f aca="false">Farm_PnL!C49</f>
        <v>-4059493.59373016</v>
      </c>
      <c r="D14" s="2" t="n">
        <f aca="false">Farm_PnL!D49</f>
        <v>-995308.520910973</v>
      </c>
      <c r="E14" s="2" t="n">
        <f aca="false">Farm_PnL!E49</f>
        <v>2071362.11121967</v>
      </c>
      <c r="F14" s="2" t="n">
        <f aca="false">D14/Inputs!$D$4</f>
        <v>-7662.70321742223</v>
      </c>
    </row>
    <row r="15" customFormat="false" ht="15" hidden="false" customHeight="false" outlineLevel="0" collapsed="false">
      <c r="A15" s="1" t="s">
        <v>38</v>
      </c>
      <c r="B15" s="6" t="s">
        <v>26</v>
      </c>
      <c r="C15" s="7" t="n">
        <f aca="false">Farm_PnL!C49-B12!C17-B12!C18-B12!C19</f>
        <v>-4559493.59373016</v>
      </c>
      <c r="D15" s="7" t="n">
        <f aca="false">Farm_PnL!D49-B12!D17-B12!D18-B12!D19</f>
        <v>-1351308.52091097</v>
      </c>
      <c r="E15" s="7" t="n">
        <f aca="false">Farm_PnL!E49-B12!E17-B12!E18-B12!E19</f>
        <v>1763362.11121967</v>
      </c>
      <c r="F15" s="2" t="n">
        <f aca="false">D15/Inputs!$D$4</f>
        <v>-10403.4838779812</v>
      </c>
    </row>
    <row r="16" customFormat="false" ht="15" hidden="false" customHeight="false" outlineLevel="0" collapsed="false">
      <c r="A16" s="4" t="s">
        <v>39</v>
      </c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0" t="s">
        <v>40</v>
      </c>
      <c r="B17" s="0" t="s">
        <v>26</v>
      </c>
      <c r="C17" s="2" t="n">
        <v>2158161.92</v>
      </c>
      <c r="D17" s="2" t="n">
        <v>2776511.75</v>
      </c>
      <c r="E17" s="2" t="n">
        <v>3568790.01</v>
      </c>
    </row>
    <row r="18" customFormat="false" ht="15" hidden="false" customHeight="false" outlineLevel="0" collapsed="false">
      <c r="A18" s="0" t="s">
        <v>41</v>
      </c>
      <c r="B18" s="0" t="s">
        <v>26</v>
      </c>
      <c r="C18" s="2" t="n">
        <v>-387335.25</v>
      </c>
      <c r="D18" s="2" t="n">
        <v>527232.23</v>
      </c>
      <c r="E18" s="2" t="n">
        <v>1517089.85</v>
      </c>
    </row>
    <row r="19" customFormat="false" ht="15" hidden="false" customHeight="false" outlineLevel="0" collapsed="false">
      <c r="A19" s="0" t="s">
        <v>42</v>
      </c>
      <c r="B19" s="0" t="s">
        <v>26</v>
      </c>
      <c r="C19" s="2" t="n">
        <v>535300</v>
      </c>
      <c r="D19" s="2" t="n">
        <v>532800</v>
      </c>
      <c r="E19" s="2" t="n">
        <v>530300</v>
      </c>
    </row>
    <row r="20" customFormat="false" ht="15" hidden="false" customHeight="false" outlineLevel="0" collapsed="false">
      <c r="A20" s="0" t="s">
        <v>43</v>
      </c>
      <c r="B20" s="0" t="s">
        <v>26</v>
      </c>
      <c r="C20" s="2" t="n">
        <v>-1175635.25</v>
      </c>
      <c r="D20" s="2" t="n">
        <v>-233567.77</v>
      </c>
      <c r="E20" s="2" t="n">
        <v>784789.85</v>
      </c>
    </row>
    <row r="21" customFormat="false" ht="15" hidden="false" customHeight="false" outlineLevel="0" collapsed="false">
      <c r="A21" s="0" t="s">
        <v>44</v>
      </c>
      <c r="B21" s="0" t="s">
        <v>26</v>
      </c>
      <c r="C21" s="2" t="n">
        <v>-1894395.21</v>
      </c>
      <c r="D21" s="2" t="n">
        <v>-710748.56</v>
      </c>
      <c r="E21" s="2" t="n">
        <v>511654.85</v>
      </c>
    </row>
    <row r="22" customFormat="false" ht="15" hidden="false" customHeight="false" outlineLevel="0" collapsed="false">
      <c r="A22" s="4" t="s">
        <v>45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0" t="s">
        <v>46</v>
      </c>
      <c r="B23" s="0" t="s">
        <v>26</v>
      </c>
      <c r="C23" s="2" t="n">
        <f aca="false">Farm_PnL!C19</f>
        <v>-63160</v>
      </c>
      <c r="D23" s="2" t="n">
        <f aca="false">Farm_PnL!D19</f>
        <v>107600</v>
      </c>
      <c r="E23" s="2" t="n">
        <f aca="false">Farm_PnL!E19</f>
        <v>329400</v>
      </c>
      <c r="F23" s="2" t="n">
        <f aca="false">D23/Inputs!$D$4</f>
        <v>828.393255831858</v>
      </c>
    </row>
    <row r="24" customFormat="false" ht="15" hidden="false" customHeight="false" outlineLevel="0" collapsed="false">
      <c r="A24" s="0" t="s">
        <v>47</v>
      </c>
      <c r="B24" s="0" t="s">
        <v>26</v>
      </c>
      <c r="C24" s="2" t="n">
        <f aca="false">Farm_PnL!C20</f>
        <v>17179.04</v>
      </c>
      <c r="D24" s="2" t="n">
        <f aca="false">Farm_PnL!D20</f>
        <v>119340.8</v>
      </c>
      <c r="E24" s="2" t="n">
        <f aca="false">Farm_PnL!E20</f>
        <v>255260.48</v>
      </c>
      <c r="F24" s="2" t="n">
        <f aca="false">D24/Inputs!$D$4</f>
        <v>918.783586111325</v>
      </c>
    </row>
    <row r="25" customFormat="false" ht="15" hidden="false" customHeight="false" outlineLevel="0" collapsed="false">
      <c r="A25" s="0" t="s">
        <v>48</v>
      </c>
      <c r="B25" s="0" t="s">
        <v>26</v>
      </c>
      <c r="C25" s="2" t="n">
        <f aca="false">Farm_PnL!C21</f>
        <v>17532.8</v>
      </c>
      <c r="D25" s="2" t="n">
        <f aca="false">Farm_PnL!D21</f>
        <v>39904</v>
      </c>
      <c r="E25" s="2" t="n">
        <f aca="false">Farm_PnL!E21</f>
        <v>69280.336</v>
      </c>
      <c r="F25" s="2" t="n">
        <f aca="false">D25/Inputs!$D$4</f>
        <v>307.213796289168</v>
      </c>
    </row>
    <row r="26" customFormat="false" ht="15" hidden="false" customHeight="false" outlineLevel="0" collapsed="false">
      <c r="A26" s="0" t="s">
        <v>49</v>
      </c>
      <c r="B26" s="0" t="s">
        <v>26</v>
      </c>
      <c r="C26" s="2" t="n">
        <f aca="false">Farm_PnL!C22</f>
        <v>-427996.425396825</v>
      </c>
      <c r="D26" s="2" t="n">
        <f aca="false">Farm_PnL!D22</f>
        <v>86169.5031055901</v>
      </c>
      <c r="E26" s="2" t="n">
        <f aca="false">Farm_PnL!E22</f>
        <v>600246.612765958</v>
      </c>
      <c r="F26" s="2" t="n">
        <f aca="false">D26/Inputs!$D$4</f>
        <v>663.403673151052</v>
      </c>
    </row>
    <row r="27" customFormat="false" ht="15" hidden="false" customHeight="false" outlineLevel="0" collapsed="false">
      <c r="A27" s="0" t="s">
        <v>50</v>
      </c>
      <c r="B27" s="0" t="s">
        <v>26</v>
      </c>
      <c r="C27" s="2" t="n">
        <f aca="false">Farm_PnL!C23</f>
        <v>-427996.425396825</v>
      </c>
      <c r="D27" s="2" t="n">
        <f aca="false">Farm_PnL!D23</f>
        <v>86169.5031055901</v>
      </c>
      <c r="E27" s="2" t="n">
        <f aca="false">Farm_PnL!E23</f>
        <v>600246.612765958</v>
      </c>
      <c r="F27" s="2" t="n">
        <f aca="false">D27/Inputs!$D$4</f>
        <v>663.403673151052</v>
      </c>
    </row>
    <row r="28" customFormat="false" ht="15" hidden="false" customHeight="false" outlineLevel="0" collapsed="false">
      <c r="A28" s="0" t="s">
        <v>51</v>
      </c>
      <c r="B28" s="0" t="s">
        <v>26</v>
      </c>
      <c r="C28" s="2" t="n">
        <f aca="false">Farm_PnL!C24</f>
        <v>-427996.425396825</v>
      </c>
      <c r="D28" s="2" t="n">
        <f aca="false">Farm_PnL!D24</f>
        <v>86169.5031055901</v>
      </c>
      <c r="E28" s="2" t="n">
        <f aca="false">Farm_PnL!E24</f>
        <v>600246.612765958</v>
      </c>
      <c r="F28" s="2" t="n">
        <f aca="false">D28/Inputs!$D$4</f>
        <v>663.403673151052</v>
      </c>
    </row>
    <row r="29" customFormat="false" ht="15" hidden="false" customHeight="false" outlineLevel="0" collapsed="false">
      <c r="A29" s="0" t="s">
        <v>52</v>
      </c>
      <c r="B29" s="0" t="s">
        <v>26</v>
      </c>
      <c r="C29" s="2" t="n">
        <f aca="false">Farm_PnL!C25</f>
        <v>-427996.425396825</v>
      </c>
      <c r="D29" s="2" t="n">
        <f aca="false">Farm_PnL!D25</f>
        <v>86169.5031055901</v>
      </c>
      <c r="E29" s="2" t="n">
        <f aca="false">Farm_PnL!E25</f>
        <v>600246.612765958</v>
      </c>
      <c r="F29" s="2" t="n">
        <f aca="false">D29/Inputs!$D$4</f>
        <v>663.403673151052</v>
      </c>
    </row>
    <row r="30" customFormat="false" ht="15" hidden="false" customHeight="false" outlineLevel="0" collapsed="false">
      <c r="A30" s="0" t="s">
        <v>53</v>
      </c>
      <c r="B30" s="0" t="s">
        <v>26</v>
      </c>
      <c r="C30" s="2" t="n">
        <f aca="false">Farm_PnL!C26</f>
        <v>-26320</v>
      </c>
      <c r="D30" s="2" t="n">
        <f aca="false">Farm_PnL!D26</f>
        <v>45560</v>
      </c>
      <c r="E30" s="2" t="n">
        <f aca="false">Farm_PnL!E26</f>
        <v>147613.142857143</v>
      </c>
      <c r="F30" s="2" t="n">
        <f aca="false">D30/Inputs!$D$4</f>
        <v>350.758333974902</v>
      </c>
    </row>
    <row r="31" customFormat="false" ht="15" hidden="false" customHeight="false" outlineLevel="0" collapsed="false">
      <c r="A31" s="0" t="s">
        <v>54</v>
      </c>
      <c r="B31" s="0" t="s">
        <v>26</v>
      </c>
      <c r="C31" s="2" t="n">
        <f aca="false">Farm_PnL!C27</f>
        <v>11471.4285714286</v>
      </c>
      <c r="D31" s="2" t="n">
        <f aca="false">Farm_PnL!D27</f>
        <v>65622</v>
      </c>
      <c r="E31" s="2" t="n">
        <f aca="false">Farm_PnL!E27</f>
        <v>133068.571428571</v>
      </c>
      <c r="F31" s="2" t="n">
        <f aca="false">D31/Inputs!$D$4</f>
        <v>505.21210254831</v>
      </c>
    </row>
    <row r="32" customFormat="false" ht="15" hidden="false" customHeight="false" outlineLevel="0" collapsed="false">
      <c r="A32" s="0" t="s">
        <v>55</v>
      </c>
      <c r="B32" s="0" t="s">
        <v>26</v>
      </c>
      <c r="C32" s="2" t="n">
        <f aca="false">Farm_PnL!C28</f>
        <v>3454.28571428572</v>
      </c>
      <c r="D32" s="2" t="n">
        <f aca="false">Farm_PnL!D28</f>
        <v>36030</v>
      </c>
      <c r="E32" s="2" t="n">
        <f aca="false">Farm_PnL!E28</f>
        <v>72258</v>
      </c>
      <c r="F32" s="2" t="n">
        <f aca="false">D32/Inputs!$D$4</f>
        <v>277.388559550389</v>
      </c>
    </row>
    <row r="33" customFormat="false" ht="15" hidden="false" customHeight="false" outlineLevel="0" collapsed="false">
      <c r="A33" s="0" t="s">
        <v>56</v>
      </c>
      <c r="B33" s="0" t="s">
        <v>26</v>
      </c>
      <c r="C33" s="2" t="n">
        <f aca="false">Farm_PnL!C29</f>
        <v>-10381.0714285714</v>
      </c>
      <c r="D33" s="2" t="n">
        <f aca="false">Farm_PnL!D29</f>
        <v>60090</v>
      </c>
      <c r="E33" s="2" t="n">
        <f aca="false">Farm_PnL!E29</f>
        <v>183567.857142857</v>
      </c>
      <c r="F33" s="2" t="n">
        <f aca="false">D33/Inputs!$D$4</f>
        <v>462.622218800524</v>
      </c>
    </row>
    <row r="34" customFormat="false" ht="15" hidden="false" customHeight="false" outlineLevel="0" collapsed="false">
      <c r="A34" s="4" t="s">
        <v>57</v>
      </c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0" t="s">
        <v>46</v>
      </c>
      <c r="B35" s="0" t="s">
        <v>58</v>
      </c>
      <c r="C35" s="2" t="n">
        <f aca="false">Farm_PnL!C52</f>
        <v>-43.2602739726027</v>
      </c>
      <c r="D35" s="2" t="n">
        <f aca="false">Farm_PnL!D52</f>
        <v>84.2270058708415</v>
      </c>
      <c r="E35" s="2" t="n">
        <f aca="false">Farm_PnL!E52</f>
        <v>282.020547945205</v>
      </c>
    </row>
    <row r="36" customFormat="false" ht="15" hidden="false" customHeight="false" outlineLevel="0" collapsed="false">
      <c r="A36" s="0" t="s">
        <v>47</v>
      </c>
      <c r="B36" s="0" t="s">
        <v>58</v>
      </c>
      <c r="C36" s="2" t="n">
        <f aca="false">Farm_PnL!C53</f>
        <v>26.1477016742771</v>
      </c>
      <c r="D36" s="2" t="n">
        <f aca="false">Farm_PnL!D53</f>
        <v>217.974063926941</v>
      </c>
      <c r="E36" s="2" t="n">
        <f aca="false">Farm_PnL!E53</f>
        <v>537.956754478398</v>
      </c>
    </row>
    <row r="37" customFormat="false" ht="15" hidden="false" customHeight="false" outlineLevel="0" collapsed="false">
      <c r="A37" s="0" t="s">
        <v>48</v>
      </c>
      <c r="B37" s="0" t="s">
        <v>58</v>
      </c>
      <c r="C37" s="2" t="n">
        <f aca="false">Farm_PnL!C54</f>
        <v>80.0584474885845</v>
      </c>
      <c r="D37" s="2" t="n">
        <f aca="false">Farm_PnL!D54</f>
        <v>218.652054794521</v>
      </c>
      <c r="E37" s="2" t="n">
        <f aca="false">Farm_PnL!E54</f>
        <v>421.798088280061</v>
      </c>
    </row>
    <row r="38" customFormat="false" ht="15" hidden="false" customHeight="false" outlineLevel="0" collapsed="false">
      <c r="A38" s="0" t="s">
        <v>59</v>
      </c>
      <c r="B38" s="0" t="s">
        <v>58</v>
      </c>
      <c r="C38" s="2" t="n">
        <f aca="false">Farm_PnL!C55</f>
        <v>-469.037178517069</v>
      </c>
      <c r="D38" s="2" t="n">
        <f aca="false">Farm_PnL!D55</f>
        <v>118.040415213137</v>
      </c>
      <c r="E38" s="2" t="n">
        <f aca="false">Farm_PnL!E55</f>
        <v>996.673495667841</v>
      </c>
    </row>
    <row r="39" customFormat="false" ht="15" hidden="false" customHeight="false" outlineLevel="0" collapsed="false">
      <c r="A39" s="0" t="s">
        <v>60</v>
      </c>
      <c r="B39" s="0" t="s">
        <v>58</v>
      </c>
      <c r="C39" s="2" t="n">
        <f aca="false">Farm_PnL!C56</f>
        <v>-44.1914909038196</v>
      </c>
      <c r="D39" s="2" t="n">
        <f aca="false">Farm_PnL!D56</f>
        <v>525.880263825469</v>
      </c>
      <c r="E39" s="2" t="n">
        <f aca="false">Farm_PnL!E56</f>
        <v>1649.70118668749</v>
      </c>
    </row>
    <row r="40" customFormat="false" ht="15" hidden="false" customHeight="false" outlineLevel="0" collapsed="false">
      <c r="A40" s="4" t="s">
        <v>61</v>
      </c>
      <c r="B40" s="5"/>
      <c r="C40" s="5"/>
      <c r="D40" s="5"/>
      <c r="E40" s="5"/>
      <c r="F40" s="5"/>
      <c r="G40" s="5"/>
    </row>
    <row r="41" customFormat="false" ht="15" hidden="false" customHeight="false" outlineLevel="0" collapsed="false">
      <c r="A41" s="0" t="s">
        <v>62</v>
      </c>
      <c r="B41" s="0" t="s">
        <v>63</v>
      </c>
      <c r="C41" s="2" t="n">
        <f aca="false">Poultry!C244</f>
        <v>2270</v>
      </c>
      <c r="D41" s="2" t="n">
        <f aca="false">Poultry!D244</f>
        <v>2270</v>
      </c>
      <c r="E41" s="2" t="n">
        <f aca="false">Poultry!E244</f>
        <v>2270</v>
      </c>
    </row>
    <row r="42" customFormat="false" ht="15" hidden="false" customHeight="false" outlineLevel="0" collapsed="false">
      <c r="A42" s="0" t="s">
        <v>64</v>
      </c>
      <c r="B42" s="0" t="s">
        <v>65</v>
      </c>
      <c r="C42" s="9" t="n">
        <f aca="false">Poultry!C248</f>
        <v>7.71506849315069</v>
      </c>
      <c r="D42" s="9" t="n">
        <f aca="false">Poultry!D248</f>
        <v>10.6301369863014</v>
      </c>
      <c r="E42" s="9" t="n">
        <f aca="false">Poultry!E248</f>
        <v>12.8219178082192</v>
      </c>
    </row>
    <row r="43" customFormat="false" ht="15" hidden="false" customHeight="false" outlineLevel="0" collapsed="false">
      <c r="A43" s="0" t="s">
        <v>66</v>
      </c>
      <c r="B43" s="0" t="s">
        <v>67</v>
      </c>
      <c r="C43" s="9" t="n">
        <f aca="false">Poultry!C250</f>
        <v>53.8153846153846</v>
      </c>
      <c r="D43" s="9" t="n">
        <f aca="false">Poultry!D250</f>
        <v>59.9519230769231</v>
      </c>
      <c r="E43" s="9" t="n">
        <f aca="false">Poultry!E250</f>
        <v>70.0538461538462</v>
      </c>
    </row>
    <row r="44" customFormat="false" ht="15" hidden="false" customHeight="false" outlineLevel="0" collapsed="false">
      <c r="A44" s="0" t="s">
        <v>68</v>
      </c>
      <c r="B44" s="0" t="s">
        <v>35</v>
      </c>
      <c r="C44" s="8" t="n">
        <f aca="false">Farm_PnL!C60</f>
        <v>1.13413270104591</v>
      </c>
      <c r="D44" s="8" t="n">
        <f aca="false">Farm_PnL!D60</f>
        <v>0.581082641632963</v>
      </c>
      <c r="E44" s="8" t="n">
        <f aca="false">Farm_PnL!E60</f>
        <v>0.322344046683607</v>
      </c>
    </row>
    <row r="45" customFormat="false" ht="15" hidden="false" customHeight="false" outlineLevel="0" collapsed="false">
      <c r="A45" s="0" t="s">
        <v>69</v>
      </c>
      <c r="B45" s="0" t="s">
        <v>35</v>
      </c>
      <c r="C45" s="8" t="n">
        <f aca="false">Poultry!C262</f>
        <v>0.36763468623981</v>
      </c>
      <c r="D45" s="8" t="n">
        <f aca="false">Poultry!D262</f>
        <v>0.423945901977686</v>
      </c>
      <c r="E45" s="8" t="n">
        <f aca="false">Poultry!E262</f>
        <v>0.429790070883389</v>
      </c>
    </row>
    <row r="46" customFormat="false" ht="15" hidden="false" customHeight="false" outlineLevel="0" collapsed="false">
      <c r="A46" s="4" t="s">
        <v>70</v>
      </c>
      <c r="B46" s="5"/>
      <c r="C46" s="5"/>
      <c r="D46" s="5"/>
      <c r="E46" s="5"/>
      <c r="F46" s="5"/>
      <c r="G46" s="5"/>
    </row>
    <row r="47" customFormat="false" ht="15" hidden="false" customHeight="false" outlineLevel="0" collapsed="false">
      <c r="A47" s="0" t="s">
        <v>71</v>
      </c>
      <c r="B47" s="0" t="s">
        <v>72</v>
      </c>
      <c r="C47" s="10" t="n">
        <f aca="false">Labour!C15</f>
        <v>3.30358796296296</v>
      </c>
      <c r="D47" s="10" t="n">
        <f aca="false">Labour!D15</f>
        <v>2.71722222222222</v>
      </c>
      <c r="E47" s="10" t="n">
        <f aca="false">Labour!E15</f>
        <v>2.32197453703704</v>
      </c>
    </row>
    <row r="48" customFormat="false" ht="15" hidden="false" customHeight="false" outlineLevel="0" collapsed="false">
      <c r="A48" s="0" t="s">
        <v>73</v>
      </c>
      <c r="B48" s="0" t="s">
        <v>35</v>
      </c>
      <c r="C48" s="8" t="n">
        <f aca="false">Labour!C16</f>
        <v>1.10119598765432</v>
      </c>
      <c r="D48" s="8" t="n">
        <f aca="false">Labour!D16</f>
        <v>0.905740740740741</v>
      </c>
      <c r="E48" s="8" t="n">
        <f aca="false">Labour!E16</f>
        <v>0.773991512345679</v>
      </c>
    </row>
    <row r="49" customFormat="false" ht="15" hidden="false" customHeight="false" outlineLevel="0" collapsed="false">
      <c r="A49" s="0" t="s">
        <v>74</v>
      </c>
      <c r="B49" s="0" t="s">
        <v>35</v>
      </c>
      <c r="C49" s="8" t="n">
        <f aca="false">Labour!C24</f>
        <v>0.280575592982689</v>
      </c>
      <c r="D49" s="8" t="n">
        <f aca="false">Labour!D24</f>
        <v>0.178858003390927</v>
      </c>
      <c r="E49" s="8" t="n">
        <f aca="false">Labour!E24</f>
        <v>0.123737490249795</v>
      </c>
    </row>
    <row r="50" customFormat="false" ht="15" hidden="false" customHeight="false" outlineLevel="0" collapsed="false">
      <c r="A50" s="0" t="s">
        <v>75</v>
      </c>
      <c r="B50" s="0" t="s">
        <v>76</v>
      </c>
      <c r="C50" s="10" t="n">
        <f aca="false">Labour!C26</f>
        <v>-0.603670095515137</v>
      </c>
      <c r="D50" s="10" t="n">
        <f aca="false">Labour!D26</f>
        <v>0.348194083157392</v>
      </c>
      <c r="E50" s="10" t="n">
        <f aca="false">Labour!E26</f>
        <v>1.79453058197494</v>
      </c>
    </row>
    <row r="51" customFormat="false" ht="15" hidden="false" customHeight="false" outlineLevel="0" collapsed="false">
      <c r="A51" s="4" t="s">
        <v>77</v>
      </c>
      <c r="B51" s="5"/>
      <c r="C51" s="5"/>
      <c r="D51" s="5"/>
      <c r="E51" s="5"/>
      <c r="F51" s="5"/>
      <c r="G51" s="5"/>
    </row>
    <row r="52" customFormat="false" ht="15" hidden="false" customHeight="false" outlineLevel="0" collapsed="false">
      <c r="A52" s="0" t="s">
        <v>78</v>
      </c>
      <c r="B52" s="0" t="s">
        <v>26</v>
      </c>
      <c r="C52" s="2" t="n">
        <f aca="false">Capital!C14</f>
        <v>18800122.4404762</v>
      </c>
      <c r="D52" s="2" t="n">
        <f aca="false">Capital!D14</f>
        <v>21772155.7763975</v>
      </c>
      <c r="E52" s="2" t="n">
        <f aca="false">Capital!E14</f>
        <v>26061930.5547112</v>
      </c>
      <c r="F52" s="2" t="n">
        <f aca="false">D52/Inputs!$D$4</f>
        <v>167619.953625356</v>
      </c>
    </row>
    <row r="53" customFormat="false" ht="15" hidden="false" customHeight="false" outlineLevel="0" collapsed="false">
      <c r="A53" s="0" t="s">
        <v>79</v>
      </c>
      <c r="B53" s="0" t="s">
        <v>26</v>
      </c>
      <c r="C53" s="2" t="n">
        <f aca="false">Capital!C15</f>
        <v>10750122.4404762</v>
      </c>
      <c r="D53" s="2" t="n">
        <f aca="false">Capital!D15</f>
        <v>10272155.7763975</v>
      </c>
      <c r="E53" s="2" t="n">
        <f aca="false">Capital!E15</f>
        <v>9961930.55471125</v>
      </c>
      <c r="F53" s="2" t="n">
        <f aca="false">D53/Inputs!$D$4</f>
        <v>79083.4997028064</v>
      </c>
    </row>
    <row r="54" customFormat="false" ht="15" hidden="false" customHeight="false" outlineLevel="0" collapsed="false">
      <c r="A54" s="0" t="s">
        <v>80</v>
      </c>
      <c r="B54" s="0" t="s">
        <v>26</v>
      </c>
      <c r="C54" s="2" t="n">
        <f aca="false">Farm_PnL!C65</f>
        <v>8050000</v>
      </c>
      <c r="D54" s="2" t="n">
        <f aca="false">Farm_PnL!D65</f>
        <v>11500000</v>
      </c>
      <c r="E54" s="2" t="n">
        <f aca="false">Farm_PnL!E65</f>
        <v>16100000</v>
      </c>
      <c r="F54" s="2" t="n">
        <f aca="false">D54/Inputs!$D$4</f>
        <v>88536.4539225499</v>
      </c>
    </row>
    <row r="55" customFormat="false" ht="15" hidden="false" customHeight="false" outlineLevel="0" collapsed="false">
      <c r="A55" s="0" t="s">
        <v>81</v>
      </c>
      <c r="B55" s="0" t="s">
        <v>26</v>
      </c>
      <c r="C55" s="2" t="n">
        <f aca="false">Farm_PnL!C63</f>
        <v>11119669.8363095</v>
      </c>
      <c r="D55" s="2" t="n">
        <f aca="false">Farm_PnL!D63</f>
        <v>10564511.3319531</v>
      </c>
      <c r="E55" s="2" t="n">
        <f aca="false">Farm_PnL!E63</f>
        <v>10208609.34259</v>
      </c>
      <c r="F55" s="2" t="n">
        <f aca="false">D55/Inputs!$D$4</f>
        <v>81334.293109193</v>
      </c>
    </row>
    <row r="56" customFormat="false" ht="15" hidden="false" customHeight="false" outlineLevel="0" collapsed="false">
      <c r="A56" s="0" t="s">
        <v>82</v>
      </c>
      <c r="B56" s="0" t="s">
        <v>26</v>
      </c>
      <c r="C56" s="2" t="n">
        <f aca="false">Cash_18m!C43</f>
        <v>4784117.95011905</v>
      </c>
      <c r="D56" s="2" t="n">
        <f aca="false">Cash_18m!D43</f>
        <v>449807.004968945</v>
      </c>
      <c r="E56" s="2" t="n">
        <f aca="false">Cash_18m!E43</f>
        <v>0</v>
      </c>
      <c r="F56" s="2" t="n">
        <f aca="false">D56/Inputs!$D$4</f>
        <v>3462.98410169331</v>
      </c>
    </row>
    <row r="57" customFormat="false" ht="15" hidden="false" customHeight="false" outlineLevel="0" collapsed="false">
      <c r="A57" s="0" t="s">
        <v>83</v>
      </c>
      <c r="B57" s="0" t="s">
        <v>26</v>
      </c>
      <c r="C57" s="2" t="n">
        <f aca="false">Cash_18m!C44</f>
        <v>-4784117.95011905</v>
      </c>
      <c r="D57" s="2" t="n">
        <f aca="false">Cash_18m!D44</f>
        <v>-449807.004968945</v>
      </c>
      <c r="E57" s="2" t="n">
        <f aca="false">Cash_18m!E44</f>
        <v>3911973.72154076</v>
      </c>
      <c r="F57" s="2" t="n">
        <f aca="false">D57/Inputs!$D$4</f>
        <v>-3462.98410169331</v>
      </c>
    </row>
    <row r="58" customFormat="false" ht="15" hidden="false" customHeight="false" outlineLevel="0" collapsed="false">
      <c r="A58" s="4" t="s">
        <v>84</v>
      </c>
      <c r="B58" s="5"/>
      <c r="C58" s="5"/>
      <c r="D58" s="5"/>
      <c r="E58" s="5"/>
      <c r="F58" s="5"/>
      <c r="G58" s="5"/>
    </row>
    <row r="59" customFormat="false" ht="15" hidden="false" customHeight="false" outlineLevel="0" collapsed="false">
      <c r="A59" s="0" t="s">
        <v>85</v>
      </c>
      <c r="B59" s="0" t="s">
        <v>26</v>
      </c>
      <c r="C59" s="2" t="n">
        <f aca="false">B12!C14</f>
        <v>-7183852.08554563</v>
      </c>
      <c r="D59" s="2" t="n">
        <f aca="false">B12!D14</f>
        <v>-3723888.9741891</v>
      </c>
      <c r="E59" s="2" t="n">
        <f aca="false">B12!E14</f>
        <v>-243146.169058027</v>
      </c>
      <c r="F59" s="2" t="n">
        <f aca="false">D59/Inputs!$D$4</f>
        <v>-28669.5586587812</v>
      </c>
    </row>
    <row r="60" customFormat="false" ht="15" hidden="false" customHeight="false" outlineLevel="0" collapsed="false">
      <c r="A60" s="1" t="s">
        <v>86</v>
      </c>
      <c r="B60" s="6" t="s">
        <v>26</v>
      </c>
      <c r="C60" s="7" t="n">
        <f aca="false">B12!C21</f>
        <v>-6152352.08554563</v>
      </c>
      <c r="D60" s="7" t="n">
        <f aca="false">B12!D21</f>
        <v>-2378188.9741891</v>
      </c>
      <c r="E60" s="7" t="n">
        <f aca="false">B12!E21</f>
        <v>1196353.83094197</v>
      </c>
      <c r="F60" s="2" t="n">
        <f aca="false">D60/Inputs!$D$4</f>
        <v>-18309.2537854269</v>
      </c>
    </row>
    <row r="61" customFormat="false" ht="15" hidden="false" customHeight="false" outlineLevel="0" collapsed="false">
      <c r="A61" s="1" t="s">
        <v>87</v>
      </c>
      <c r="B61" s="6" t="s">
        <v>26</v>
      </c>
      <c r="C61" s="7" t="n">
        <f aca="false">B12!C26</f>
        <v>-4457377.08554563</v>
      </c>
      <c r="D61" s="7" t="n">
        <f aca="false">B12!D26</f>
        <v>-1163255.64085576</v>
      </c>
      <c r="E61" s="7" t="n">
        <f aca="false">B12!E26</f>
        <v>2108476.5582147</v>
      </c>
      <c r="F61" s="2" t="n">
        <f aca="false">D61/Inputs!$D$4</f>
        <v>-8955.69821276282</v>
      </c>
    </row>
    <row r="62" customFormat="false" ht="15" hidden="false" customHeight="false" outlineLevel="0" collapsed="false">
      <c r="A62" s="0" t="s">
        <v>88</v>
      </c>
      <c r="B62" s="0" t="s">
        <v>26</v>
      </c>
      <c r="C62" s="2" t="n">
        <f aca="false">B12!C33</f>
        <v>100767.5</v>
      </c>
      <c r="D62" s="2" t="n">
        <f aca="false">B12!D33</f>
        <v>268767.5</v>
      </c>
      <c r="E62" s="2" t="n">
        <f aca="false">B12!E33</f>
        <v>525767.5</v>
      </c>
      <c r="F62" s="2" t="n">
        <f aca="false">D62/Inputs!$D$4</f>
        <v>2069.19316344599</v>
      </c>
    </row>
    <row r="63" customFormat="false" ht="15" hidden="false" customHeight="false" outlineLevel="0" collapsed="false">
      <c r="A63" s="0" t="s">
        <v>89</v>
      </c>
      <c r="B63" s="0" t="s">
        <v>26</v>
      </c>
      <c r="C63" s="2" t="n">
        <f aca="false">B12!C36</f>
        <v>318155</v>
      </c>
      <c r="D63" s="2" t="n">
        <f aca="false">B12!D36</f>
        <v>383705</v>
      </c>
      <c r="E63" s="2" t="n">
        <f aca="false">B12!E36</f>
        <v>471105</v>
      </c>
      <c r="F63" s="2" t="n">
        <f aca="false">D63/Inputs!$D$4</f>
        <v>2954.07652629148</v>
      </c>
    </row>
    <row r="64" customFormat="false" ht="15" hidden="false" customHeight="false" outlineLevel="0" collapsed="false">
      <c r="A64" s="1" t="s">
        <v>90</v>
      </c>
      <c r="B64" s="6" t="s">
        <v>91</v>
      </c>
      <c r="C64" s="1" t="str">
        <f aca="false">B12!C60</f>
        <v>Sale (conditional exit)</v>
      </c>
      <c r="D64" s="1" t="str">
        <f aca="false">B12!D60</f>
        <v>Sale (conditional exit)</v>
      </c>
      <c r="E64" s="1" t="str">
        <f aca="false">B12!E60</f>
        <v>Owner-operator, sell lorry</v>
      </c>
    </row>
    <row r="65" customFormat="false" ht="15" hidden="false" customHeight="false" outlineLevel="0" collapsed="false">
      <c r="A65" s="1" t="s">
        <v>92</v>
      </c>
      <c r="B65" s="6" t="s">
        <v>91</v>
      </c>
      <c r="C65" s="1" t="str">
        <f aca="false">B12!C65</f>
        <v>No viable option (hold, simplify or fix title first)</v>
      </c>
      <c r="D65" s="1" t="str">
        <f aca="false">B12!D65</f>
        <v>No viable option (hold, simplify or fix title first)</v>
      </c>
      <c r="E65" s="1" t="str">
        <f aca="false">B12!E65</f>
        <v>Owner-operator, sell lorry</v>
      </c>
    </row>
    <row r="66" customFormat="false" ht="15" hidden="false" customHeight="false" outlineLevel="0" collapsed="false">
      <c r="A66" s="1" t="s">
        <v>93</v>
      </c>
      <c r="B66" s="6" t="s">
        <v>91</v>
      </c>
      <c r="C66" s="1" t="str">
        <f aca="false">B12!C66</f>
        <v>No viable option: do not proceed as designed</v>
      </c>
      <c r="D66" s="1" t="str">
        <f aca="false">B12!D66</f>
        <v>No viable option: do not proceed as designed</v>
      </c>
      <c r="E66" s="1" t="str">
        <f aca="false">B12!E66</f>
        <v>Proceed</v>
      </c>
    </row>
    <row r="67" customFormat="false" ht="15" hidden="false" customHeight="false" outlineLevel="0" collapsed="false">
      <c r="A67" s="0" t="s">
        <v>94</v>
      </c>
      <c r="B67" s="0" t="s">
        <v>26</v>
      </c>
      <c r="C67" s="2" t="n">
        <f aca="false">B12!C46</f>
        <v>-5812379.8984127</v>
      </c>
      <c r="D67" s="2" t="n">
        <f aca="false">B12!D46</f>
        <v>-2360134.81780538</v>
      </c>
      <c r="E67" s="2" t="n">
        <f aca="false">B12!E46</f>
        <v>364109.551219674</v>
      </c>
      <c r="F67" s="2" t="n">
        <f aca="false">D67/Inputs!$D$4</f>
        <v>-18170.2580476202</v>
      </c>
    </row>
    <row r="68" customFormat="false" ht="15" hidden="false" customHeight="false" outlineLevel="0" collapsed="false">
      <c r="A68" s="0" t="s">
        <v>95</v>
      </c>
      <c r="B68" s="0" t="s">
        <v>26</v>
      </c>
      <c r="C68" s="2" t="n">
        <f aca="false">B12!C42</f>
        <v>-1111966.98363095</v>
      </c>
      <c r="D68" s="2" t="n">
        <f aca="false">B12!D42</f>
        <v>-1056451.13319531</v>
      </c>
      <c r="E68" s="2" t="n">
        <f aca="false">B12!E42</f>
        <v>-1020860.934259</v>
      </c>
      <c r="F68" s="2" t="n">
        <f aca="false">D68/Inputs!$D$4</f>
        <v>-8133.4293109193</v>
      </c>
    </row>
    <row r="69" customFormat="false" ht="15" hidden="false" customHeight="false" outlineLevel="0" collapsed="false">
      <c r="A69" s="0" t="s">
        <v>96</v>
      </c>
      <c r="B69" s="0" t="s">
        <v>97</v>
      </c>
      <c r="C69" s="11" t="n">
        <f aca="false">B12!C50</f>
        <v>0</v>
      </c>
      <c r="D69" s="11" t="n">
        <f aca="false">B12!D50</f>
        <v>0</v>
      </c>
      <c r="E69" s="11" t="n">
        <f aca="false">B12!E50</f>
        <v>1</v>
      </c>
    </row>
    <row r="70" customFormat="false" ht="15" hidden="false" customHeight="false" outlineLevel="0" collapsed="false">
      <c r="A70" s="0" t="s">
        <v>98</v>
      </c>
      <c r="B70" s="0" t="s">
        <v>97</v>
      </c>
      <c r="C70" s="11" t="n">
        <f aca="false">B12!C52</f>
        <v>0</v>
      </c>
      <c r="D70" s="11" t="n">
        <f aca="false">B12!D52</f>
        <v>0</v>
      </c>
      <c r="E70" s="11" t="n">
        <f aca="false">B12!E52</f>
        <v>1</v>
      </c>
    </row>
    <row r="71" customFormat="false" ht="15" hidden="false" customHeight="false" outlineLevel="0" collapsed="false">
      <c r="A71" s="4" t="s">
        <v>99</v>
      </c>
      <c r="B71" s="5"/>
      <c r="C71" s="5"/>
      <c r="D71" s="5"/>
      <c r="E71" s="5"/>
      <c r="F71" s="5"/>
      <c r="G71" s="5"/>
    </row>
    <row r="72" customFormat="false" ht="15" hidden="false" customHeight="false" outlineLevel="0" collapsed="false">
      <c r="A72" s="0" t="s">
        <v>100</v>
      </c>
      <c r="B72" s="0" t="s">
        <v>26</v>
      </c>
      <c r="C72" s="2" t="n">
        <f aca="false">Breakeven!C4</f>
        <v>6152352.08554563</v>
      </c>
      <c r="D72" s="2" t="n">
        <f aca="false">Breakeven!D4</f>
        <v>2378188.9741891</v>
      </c>
      <c r="E72" s="2" t="n">
        <f aca="false">Breakeven!E4</f>
        <v>0</v>
      </c>
      <c r="F72" s="2" t="n">
        <f aca="false">D72/Inputs!$D$4</f>
        <v>18309.2537854269</v>
      </c>
    </row>
    <row r="73" customFormat="false" ht="15" hidden="false" customHeight="false" outlineLevel="0" collapsed="false">
      <c r="A73" s="0" t="s">
        <v>101</v>
      </c>
      <c r="B73" s="0" t="s">
        <v>26</v>
      </c>
      <c r="C73" s="2" t="n">
        <f aca="false">Breakeven!C5</f>
        <v>5181368.59373016</v>
      </c>
      <c r="D73" s="2" t="n">
        <f aca="false">Breakeven!D5</f>
        <v>1888808.52091097</v>
      </c>
      <c r="E73" s="2" t="n">
        <f aca="false">Breakeven!E5</f>
        <v>0</v>
      </c>
      <c r="F73" s="2" t="n">
        <f aca="false">D73/Inputs!$D$4</f>
        <v>14541.6007461003</v>
      </c>
    </row>
    <row r="74" customFormat="false" ht="15" hidden="false" customHeight="false" outlineLevel="0" collapsed="false">
      <c r="A74" s="0" t="s">
        <v>102</v>
      </c>
      <c r="B74" s="0" t="s">
        <v>103</v>
      </c>
      <c r="C74" s="9" t="n">
        <f aca="false">Breakeven!C8</f>
        <v>87.8605597669275</v>
      </c>
      <c r="D74" s="9" t="n">
        <f aca="false">Breakeven!D8</f>
        <v>36.0630688187648</v>
      </c>
      <c r="E74" s="9" t="n">
        <f aca="false">Breakeven!E8</f>
        <v>18</v>
      </c>
    </row>
    <row r="75" customFormat="false" ht="15" hidden="false" customHeight="false" outlineLevel="0" collapsed="false">
      <c r="A75" s="0" t="s">
        <v>104</v>
      </c>
      <c r="B75" s="0" t="s">
        <v>105</v>
      </c>
      <c r="C75" s="2" t="n">
        <f aca="false">Breakeven!C11</f>
        <v>2937.36424029733</v>
      </c>
      <c r="D75" s="2" t="n">
        <f aca="false">Breakeven!D11</f>
        <v>1555.64721137032</v>
      </c>
      <c r="E75" s="2" t="n">
        <f aca="false">Breakeven!E11</f>
        <v>920.412869221478</v>
      </c>
    </row>
    <row r="76" customFormat="false" ht="15" hidden="false" customHeight="false" outlineLevel="0" collapsed="false">
      <c r="A76" s="0" t="s">
        <v>106</v>
      </c>
      <c r="B76" s="0" t="s">
        <v>35</v>
      </c>
      <c r="C76" s="8" t="n">
        <f aca="false">Breakeven!C13</f>
        <v>1.66948563347516</v>
      </c>
      <c r="D76" s="8" t="n">
        <f aca="false">Breakeven!D13</f>
        <v>0.843134879596621</v>
      </c>
      <c r="E76" s="8" t="n">
        <f aca="false">Breakeven!E13</f>
        <v>0</v>
      </c>
    </row>
    <row r="77" customFormat="false" ht="15" hidden="false" customHeight="false" outlineLevel="0" collapsed="false">
      <c r="A77" s="0" t="s">
        <v>107</v>
      </c>
      <c r="B77" s="0" t="s">
        <v>26</v>
      </c>
      <c r="C77" s="2" t="n">
        <f aca="false">Breakeven!C19</f>
        <v>1694975</v>
      </c>
      <c r="D77" s="2" t="n">
        <f aca="false">Breakeven!D19</f>
        <v>1214933.33333333</v>
      </c>
      <c r="E77" s="2" t="n">
        <f aca="false">Breakeven!E19</f>
        <v>912122.727272727</v>
      </c>
      <c r="F77" s="2" t="n">
        <f aca="false">D77/Inputs!$D$4</f>
        <v>9353.55557266405</v>
      </c>
    </row>
    <row r="78" customFormat="false" ht="15" hidden="false" customHeight="false" outlineLevel="0" collapsed="false">
      <c r="A78" s="0" t="s">
        <v>108</v>
      </c>
      <c r="B78" s="0" t="s">
        <v>109</v>
      </c>
      <c r="C78" s="11" t="n">
        <f aca="false">Lorry!C29</f>
        <v>317.358166189112</v>
      </c>
      <c r="D78" s="11" t="n">
        <f aca="false">Lorry!D29</f>
        <v>73.0333333333333</v>
      </c>
      <c r="E78" s="11" t="n">
        <f aca="false">Lorry!E29</f>
        <v>31.4568947694852</v>
      </c>
    </row>
    <row r="79" customFormat="false" ht="15" hidden="false" customHeight="false" outlineLevel="0" collapsed="false">
      <c r="A79" s="0" t="s">
        <v>110</v>
      </c>
      <c r="B79" s="0" t="s">
        <v>111</v>
      </c>
      <c r="C79" s="11" t="n">
        <f aca="false">B12!C16</f>
        <v>1000</v>
      </c>
      <c r="D79" s="11" t="n">
        <f aca="false">B12!D16</f>
        <v>556</v>
      </c>
      <c r="E79" s="11" t="n">
        <f aca="false">B12!E16</f>
        <v>346</v>
      </c>
    </row>
    <row r="80" customFormat="false" ht="15" hidden="false" customHeight="false" outlineLevel="0" collapsed="false">
      <c r="A80" s="0" t="s">
        <v>112</v>
      </c>
      <c r="B80" s="0" t="s">
        <v>113</v>
      </c>
      <c r="C80" s="9" t="n">
        <f aca="false">B12!C16/52</f>
        <v>19.2307692307692</v>
      </c>
      <c r="D80" s="9" t="n">
        <f aca="false">B12!D16/52</f>
        <v>10.6923076923077</v>
      </c>
      <c r="E80" s="9" t="n">
        <f aca="false">B12!E16/52</f>
        <v>6.65384615384615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3" t="s">
        <v>115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116</v>
      </c>
      <c r="G2" s="3" t="s">
        <v>117</v>
      </c>
    </row>
    <row r="3" customFormat="false" ht="15" hidden="false" customHeight="false" outlineLevel="0" collapsed="false">
      <c r="A3" s="4" t="s">
        <v>118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119</v>
      </c>
      <c r="B4" s="0" t="s">
        <v>120</v>
      </c>
      <c r="C4" s="12" t="n">
        <v>129.89</v>
      </c>
      <c r="D4" s="12" t="n">
        <v>129.89</v>
      </c>
      <c r="E4" s="12" t="n">
        <v>129.89</v>
      </c>
      <c r="F4" s="6" t="s">
        <v>9</v>
      </c>
      <c r="G4" s="6" t="s">
        <v>121</v>
      </c>
    </row>
    <row r="5" customFormat="false" ht="15" hidden="false" customHeight="false" outlineLevel="0" collapsed="false">
      <c r="A5" s="0" t="s">
        <v>122</v>
      </c>
      <c r="B5" s="0" t="s">
        <v>123</v>
      </c>
      <c r="C5" s="13" t="n">
        <v>0.02</v>
      </c>
      <c r="D5" s="13" t="n">
        <v>0.02</v>
      </c>
      <c r="E5" s="13" t="n">
        <v>0.02</v>
      </c>
      <c r="F5" s="6" t="s">
        <v>11</v>
      </c>
      <c r="G5" s="6" t="s">
        <v>124</v>
      </c>
    </row>
    <row r="6" customFormat="false" ht="15" hidden="false" customHeight="false" outlineLevel="0" collapsed="false">
      <c r="A6" s="0" t="s">
        <v>125</v>
      </c>
      <c r="B6" s="0" t="s">
        <v>123</v>
      </c>
      <c r="C6" s="13" t="n">
        <v>0</v>
      </c>
      <c r="D6" s="13" t="n">
        <v>0.01</v>
      </c>
      <c r="E6" s="13" t="n">
        <v>0.02</v>
      </c>
      <c r="F6" s="6" t="s">
        <v>11</v>
      </c>
      <c r="G6" s="6" t="s">
        <v>126</v>
      </c>
    </row>
    <row r="7" customFormat="false" ht="15" hidden="false" customHeight="false" outlineLevel="0" collapsed="false">
      <c r="A7" s="0" t="s">
        <v>127</v>
      </c>
      <c r="B7" s="0" t="s">
        <v>35</v>
      </c>
      <c r="C7" s="13" t="n">
        <v>0.05</v>
      </c>
      <c r="D7" s="13" t="n">
        <v>0.04</v>
      </c>
      <c r="E7" s="13" t="n">
        <v>0.03</v>
      </c>
      <c r="F7" s="6" t="s">
        <v>10</v>
      </c>
      <c r="G7" s="6" t="s">
        <v>128</v>
      </c>
    </row>
    <row r="8" customFormat="false" ht="15" hidden="false" customHeight="false" outlineLevel="0" collapsed="false">
      <c r="A8" s="0" t="s">
        <v>129</v>
      </c>
      <c r="B8" s="0" t="s">
        <v>58</v>
      </c>
      <c r="C8" s="14" t="n">
        <v>400</v>
      </c>
      <c r="D8" s="14" t="n">
        <v>300</v>
      </c>
      <c r="E8" s="14" t="n">
        <v>250</v>
      </c>
      <c r="F8" s="6" t="s">
        <v>11</v>
      </c>
      <c r="G8" s="6" t="s">
        <v>130</v>
      </c>
    </row>
    <row r="9" customFormat="false" ht="15" hidden="false" customHeight="false" outlineLevel="0" collapsed="false">
      <c r="A9" s="0" t="s">
        <v>131</v>
      </c>
      <c r="B9" s="0" t="s">
        <v>35</v>
      </c>
      <c r="C9" s="13" t="n">
        <v>0.05</v>
      </c>
      <c r="D9" s="13" t="n">
        <v>0.05</v>
      </c>
      <c r="E9" s="13" t="n">
        <v>0.05</v>
      </c>
      <c r="F9" s="6" t="s">
        <v>10</v>
      </c>
      <c r="G9" s="6" t="s">
        <v>132</v>
      </c>
    </row>
    <row r="10" customFormat="false" ht="15" hidden="false" customHeight="false" outlineLevel="0" collapsed="false">
      <c r="A10" s="4" t="s">
        <v>133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0" t="s">
        <v>134</v>
      </c>
      <c r="B11" s="0" t="s">
        <v>135</v>
      </c>
      <c r="C11" s="14" t="n">
        <v>23</v>
      </c>
      <c r="D11" s="14" t="n">
        <v>23</v>
      </c>
      <c r="E11" s="14" t="n">
        <v>23</v>
      </c>
      <c r="F11" s="6" t="s">
        <v>12</v>
      </c>
      <c r="G11" s="6" t="s">
        <v>136</v>
      </c>
    </row>
    <row r="12" customFormat="false" ht="15" hidden="false" customHeight="false" outlineLevel="0" collapsed="false">
      <c r="A12" s="0" t="s">
        <v>137</v>
      </c>
      <c r="B12" s="0" t="s">
        <v>138</v>
      </c>
      <c r="C12" s="14" t="n">
        <v>350000</v>
      </c>
      <c r="D12" s="14" t="n">
        <v>500000</v>
      </c>
      <c r="E12" s="14" t="n">
        <v>700000</v>
      </c>
      <c r="F12" s="6" t="s">
        <v>11</v>
      </c>
      <c r="G12" s="6" t="s">
        <v>139</v>
      </c>
    </row>
    <row r="13" customFormat="false" ht="15" hidden="false" customHeight="false" outlineLevel="0" collapsed="false">
      <c r="A13" s="0" t="s">
        <v>140</v>
      </c>
      <c r="B13" s="0" t="s">
        <v>26</v>
      </c>
      <c r="C13" s="14" t="n">
        <v>2000000</v>
      </c>
      <c r="D13" s="14" t="n">
        <v>2000000</v>
      </c>
      <c r="E13" s="14" t="n">
        <v>2000000</v>
      </c>
      <c r="F13" s="6" t="s">
        <v>12</v>
      </c>
      <c r="G13" s="6" t="s">
        <v>141</v>
      </c>
    </row>
    <row r="14" customFormat="false" ht="15" hidden="false" customHeight="false" outlineLevel="0" collapsed="false">
      <c r="A14" s="0" t="s">
        <v>142</v>
      </c>
      <c r="B14" s="0" t="s">
        <v>143</v>
      </c>
      <c r="C14" s="14" t="n">
        <v>10</v>
      </c>
      <c r="D14" s="14" t="n">
        <v>10</v>
      </c>
      <c r="E14" s="14" t="n">
        <v>10</v>
      </c>
      <c r="F14" s="6" t="s">
        <v>11</v>
      </c>
      <c r="G14" s="6" t="s">
        <v>144</v>
      </c>
    </row>
    <row r="15" customFormat="false" ht="15" hidden="false" customHeight="false" outlineLevel="0" collapsed="false">
      <c r="A15" s="0" t="s">
        <v>145</v>
      </c>
      <c r="B15" s="0" t="s">
        <v>146</v>
      </c>
      <c r="C15" s="13" t="n">
        <v>0.04</v>
      </c>
      <c r="D15" s="13" t="n">
        <v>0.03</v>
      </c>
      <c r="E15" s="13" t="n">
        <v>0.02</v>
      </c>
      <c r="F15" s="6" t="s">
        <v>11</v>
      </c>
      <c r="G15" s="6" t="s">
        <v>147</v>
      </c>
    </row>
    <row r="16" customFormat="false" ht="15" hidden="false" customHeight="false" outlineLevel="0" collapsed="false">
      <c r="A16" s="0" t="s">
        <v>148</v>
      </c>
      <c r="B16" s="0" t="s">
        <v>149</v>
      </c>
      <c r="C16" s="14" t="n">
        <v>0</v>
      </c>
      <c r="D16" s="14" t="n">
        <v>0</v>
      </c>
      <c r="E16" s="14" t="n">
        <v>0</v>
      </c>
      <c r="F16" s="6" t="s">
        <v>12</v>
      </c>
      <c r="G16" s="6" t="s">
        <v>150</v>
      </c>
    </row>
    <row r="17" customFormat="false" ht="15" hidden="false" customHeight="false" outlineLevel="0" collapsed="false">
      <c r="A17" s="0" t="s">
        <v>151</v>
      </c>
      <c r="B17" s="0" t="s">
        <v>26</v>
      </c>
      <c r="C17" s="14" t="n">
        <v>0</v>
      </c>
      <c r="D17" s="14" t="n">
        <v>0</v>
      </c>
      <c r="E17" s="14" t="n">
        <v>0</v>
      </c>
      <c r="F17" s="6" t="s">
        <v>11</v>
      </c>
      <c r="G17" s="6" t="s">
        <v>152</v>
      </c>
    </row>
    <row r="18" customFormat="false" ht="15" hidden="false" customHeight="false" outlineLevel="0" collapsed="false">
      <c r="A18" s="0" t="s">
        <v>153</v>
      </c>
      <c r="B18" s="0" t="s">
        <v>97</v>
      </c>
      <c r="C18" s="15" t="n">
        <v>0</v>
      </c>
      <c r="D18" s="15" t="n">
        <v>0</v>
      </c>
      <c r="E18" s="15" t="n">
        <v>0</v>
      </c>
      <c r="F18" s="6" t="s">
        <v>11</v>
      </c>
      <c r="G18" s="6" t="s">
        <v>154</v>
      </c>
    </row>
    <row r="19" customFormat="false" ht="15" hidden="false" customHeight="false" outlineLevel="0" collapsed="false">
      <c r="A19" s="4" t="s">
        <v>155</v>
      </c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0" t="s">
        <v>156</v>
      </c>
      <c r="B20" s="0" t="s">
        <v>157</v>
      </c>
      <c r="C20" s="14" t="n">
        <v>10</v>
      </c>
      <c r="D20" s="14" t="n">
        <v>10</v>
      </c>
      <c r="E20" s="14" t="n">
        <v>10</v>
      </c>
      <c r="F20" s="6" t="s">
        <v>12</v>
      </c>
      <c r="G20" s="6" t="s">
        <v>158</v>
      </c>
    </row>
    <row r="21" customFormat="false" ht="15" hidden="false" customHeight="false" outlineLevel="0" collapsed="false">
      <c r="A21" s="0" t="s">
        <v>159</v>
      </c>
      <c r="B21" s="0" t="s">
        <v>157</v>
      </c>
      <c r="C21" s="14" t="n">
        <v>50</v>
      </c>
      <c r="D21" s="14" t="n">
        <v>50</v>
      </c>
      <c r="E21" s="14" t="n">
        <v>50</v>
      </c>
      <c r="F21" s="6" t="s">
        <v>12</v>
      </c>
      <c r="G21" s="6" t="s">
        <v>160</v>
      </c>
    </row>
    <row r="22" customFormat="false" ht="15" hidden="false" customHeight="false" outlineLevel="0" collapsed="false">
      <c r="A22" s="0" t="s">
        <v>48</v>
      </c>
      <c r="B22" s="0" t="s">
        <v>157</v>
      </c>
      <c r="C22" s="14" t="n">
        <v>10</v>
      </c>
      <c r="D22" s="14" t="n">
        <v>10</v>
      </c>
      <c r="E22" s="14" t="n">
        <v>10</v>
      </c>
      <c r="F22" s="6" t="s">
        <v>12</v>
      </c>
      <c r="G22" s="6" t="s">
        <v>160</v>
      </c>
    </row>
    <row r="23" customFormat="false" ht="15" hidden="false" customHeight="false" outlineLevel="0" collapsed="false">
      <c r="A23" s="0" t="s">
        <v>161</v>
      </c>
      <c r="B23" s="0" t="s">
        <v>162</v>
      </c>
      <c r="C23" s="12" t="n">
        <v>0.7</v>
      </c>
      <c r="D23" s="12" t="n">
        <v>0.7</v>
      </c>
      <c r="E23" s="12" t="n">
        <v>0.7</v>
      </c>
      <c r="F23" s="6" t="s">
        <v>10</v>
      </c>
      <c r="G23" s="6" t="s">
        <v>163</v>
      </c>
    </row>
    <row r="24" customFormat="false" ht="15" hidden="false" customHeight="false" outlineLevel="0" collapsed="false">
      <c r="A24" s="0" t="s">
        <v>164</v>
      </c>
      <c r="B24" s="0" t="s">
        <v>162</v>
      </c>
      <c r="C24" s="12" t="n">
        <v>0.1</v>
      </c>
      <c r="D24" s="12" t="n">
        <v>0.1</v>
      </c>
      <c r="E24" s="12" t="n">
        <v>0.1</v>
      </c>
      <c r="F24" s="6" t="s">
        <v>10</v>
      </c>
      <c r="G24" s="6" t="s">
        <v>163</v>
      </c>
    </row>
    <row r="25" customFormat="false" ht="15" hidden="false" customHeight="false" outlineLevel="0" collapsed="false">
      <c r="A25" s="0" t="s">
        <v>165</v>
      </c>
      <c r="B25" s="0" t="s">
        <v>166</v>
      </c>
      <c r="C25" s="12" t="n">
        <v>0.01</v>
      </c>
      <c r="D25" s="12" t="n">
        <v>0.01</v>
      </c>
      <c r="E25" s="12" t="n">
        <v>0.01</v>
      </c>
      <c r="F25" s="6" t="s">
        <v>10</v>
      </c>
      <c r="G25" s="6" t="s">
        <v>163</v>
      </c>
    </row>
    <row r="26" customFormat="false" ht="15" hidden="false" customHeight="false" outlineLevel="0" collapsed="false">
      <c r="A26" s="4" t="s">
        <v>167</v>
      </c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0" t="s">
        <v>168</v>
      </c>
      <c r="B27" s="0" t="s">
        <v>157</v>
      </c>
      <c r="C27" s="14" t="n">
        <v>4</v>
      </c>
      <c r="D27" s="14" t="n">
        <v>4</v>
      </c>
      <c r="E27" s="14" t="n">
        <v>5</v>
      </c>
      <c r="F27" s="6" t="s">
        <v>11</v>
      </c>
      <c r="G27" s="6" t="s">
        <v>169</v>
      </c>
    </row>
    <row r="28" customFormat="false" ht="15" hidden="false" customHeight="false" outlineLevel="0" collapsed="false">
      <c r="A28" s="0" t="s">
        <v>170</v>
      </c>
      <c r="B28" s="0" t="s">
        <v>171</v>
      </c>
      <c r="C28" s="14" t="n">
        <v>7</v>
      </c>
      <c r="D28" s="14" t="n">
        <v>8</v>
      </c>
      <c r="E28" s="14" t="n">
        <v>9</v>
      </c>
      <c r="F28" s="6" t="s">
        <v>11</v>
      </c>
      <c r="G28" s="6" t="s">
        <v>172</v>
      </c>
    </row>
    <row r="29" customFormat="false" ht="15" hidden="false" customHeight="false" outlineLevel="0" collapsed="false">
      <c r="A29" s="0" t="s">
        <v>173</v>
      </c>
      <c r="B29" s="0" t="s">
        <v>109</v>
      </c>
      <c r="C29" s="14" t="n">
        <v>290</v>
      </c>
      <c r="D29" s="14" t="n">
        <v>300</v>
      </c>
      <c r="E29" s="14" t="n">
        <v>305</v>
      </c>
      <c r="F29" s="6" t="s">
        <v>11</v>
      </c>
    </row>
    <row r="30" customFormat="false" ht="15" hidden="false" customHeight="false" outlineLevel="0" collapsed="false">
      <c r="A30" s="0" t="s">
        <v>174</v>
      </c>
      <c r="B30" s="0" t="s">
        <v>175</v>
      </c>
      <c r="C30" s="16" t="n">
        <v>34</v>
      </c>
      <c r="D30" s="16" t="n">
        <v>38</v>
      </c>
      <c r="E30" s="16" t="n">
        <v>42</v>
      </c>
      <c r="F30" s="6" t="s">
        <v>10</v>
      </c>
      <c r="G30" s="6" t="s">
        <v>176</v>
      </c>
    </row>
    <row r="31" customFormat="false" ht="15" hidden="false" customHeight="false" outlineLevel="0" collapsed="false">
      <c r="A31" s="0" t="s">
        <v>177</v>
      </c>
      <c r="B31" s="0" t="s">
        <v>175</v>
      </c>
      <c r="C31" s="16" t="n">
        <v>3</v>
      </c>
      <c r="D31" s="16" t="n">
        <v>2.5</v>
      </c>
      <c r="E31" s="16" t="n">
        <v>2</v>
      </c>
      <c r="F31" s="6" t="s">
        <v>11</v>
      </c>
    </row>
    <row r="32" customFormat="false" ht="15" hidden="false" customHeight="false" outlineLevel="0" collapsed="false">
      <c r="A32" s="0" t="s">
        <v>178</v>
      </c>
      <c r="B32" s="0" t="s">
        <v>179</v>
      </c>
      <c r="C32" s="16" t="n">
        <v>3</v>
      </c>
      <c r="D32" s="16" t="n">
        <v>3</v>
      </c>
      <c r="E32" s="16" t="n">
        <v>3</v>
      </c>
      <c r="F32" s="6" t="s">
        <v>11</v>
      </c>
    </row>
    <row r="33" customFormat="false" ht="15" hidden="false" customHeight="false" outlineLevel="0" collapsed="false">
      <c r="A33" s="0" t="s">
        <v>180</v>
      </c>
      <c r="B33" s="0" t="s">
        <v>181</v>
      </c>
      <c r="C33" s="14" t="n">
        <v>56</v>
      </c>
      <c r="D33" s="14" t="n">
        <v>52</v>
      </c>
      <c r="E33" s="14" t="n">
        <v>48</v>
      </c>
      <c r="F33" s="6" t="s">
        <v>10</v>
      </c>
      <c r="G33" s="6" t="s">
        <v>182</v>
      </c>
    </row>
    <row r="34" customFormat="false" ht="15" hidden="false" customHeight="false" outlineLevel="0" collapsed="false">
      <c r="A34" s="0" t="s">
        <v>183</v>
      </c>
      <c r="B34" s="0" t="s">
        <v>184</v>
      </c>
      <c r="C34" s="14" t="n">
        <v>4000</v>
      </c>
      <c r="D34" s="14" t="n">
        <v>3000</v>
      </c>
      <c r="E34" s="14" t="n">
        <v>2000</v>
      </c>
      <c r="F34" s="6" t="s">
        <v>11</v>
      </c>
      <c r="G34" s="6" t="s">
        <v>185</v>
      </c>
    </row>
    <row r="35" customFormat="false" ht="15" hidden="false" customHeight="false" outlineLevel="0" collapsed="false">
      <c r="A35" s="0" t="s">
        <v>186</v>
      </c>
      <c r="B35" s="0" t="s">
        <v>184</v>
      </c>
      <c r="C35" s="14" t="n">
        <v>1800</v>
      </c>
      <c r="D35" s="14" t="n">
        <v>1800</v>
      </c>
      <c r="E35" s="14" t="n">
        <v>1800</v>
      </c>
      <c r="F35" s="6" t="s">
        <v>11</v>
      </c>
    </row>
    <row r="36" customFormat="false" ht="15" hidden="false" customHeight="false" outlineLevel="0" collapsed="false">
      <c r="A36" s="0" t="s">
        <v>187</v>
      </c>
      <c r="B36" s="0" t="s">
        <v>184</v>
      </c>
      <c r="C36" s="14" t="n">
        <v>7000</v>
      </c>
      <c r="D36" s="14" t="n">
        <v>6000</v>
      </c>
      <c r="E36" s="14" t="n">
        <v>5000</v>
      </c>
      <c r="F36" s="6" t="s">
        <v>11</v>
      </c>
      <c r="G36" s="6" t="s">
        <v>188</v>
      </c>
    </row>
    <row r="37" customFormat="false" ht="15" hidden="false" customHeight="false" outlineLevel="0" collapsed="false">
      <c r="A37" s="0" t="s">
        <v>189</v>
      </c>
      <c r="B37" s="0" t="s">
        <v>157</v>
      </c>
      <c r="C37" s="14" t="n">
        <v>1</v>
      </c>
      <c r="D37" s="14" t="n">
        <v>2</v>
      </c>
      <c r="E37" s="14" t="n">
        <v>2</v>
      </c>
      <c r="F37" s="6" t="s">
        <v>11</v>
      </c>
    </row>
    <row r="38" customFormat="false" ht="15" hidden="false" customHeight="false" outlineLevel="0" collapsed="false">
      <c r="A38" s="0" t="s">
        <v>190</v>
      </c>
      <c r="B38" s="0" t="s">
        <v>26</v>
      </c>
      <c r="C38" s="14" t="n">
        <v>32000</v>
      </c>
      <c r="D38" s="14" t="n">
        <v>40000</v>
      </c>
      <c r="E38" s="14" t="n">
        <v>50000</v>
      </c>
      <c r="F38" s="6" t="s">
        <v>10</v>
      </c>
      <c r="G38" s="6" t="s">
        <v>191</v>
      </c>
    </row>
    <row r="39" customFormat="false" ht="15" hidden="false" customHeight="false" outlineLevel="0" collapsed="false">
      <c r="A39" s="0" t="s">
        <v>192</v>
      </c>
      <c r="B39" s="0" t="s">
        <v>193</v>
      </c>
      <c r="C39" s="13" t="n">
        <v>0.04</v>
      </c>
      <c r="D39" s="13" t="n">
        <v>0.03</v>
      </c>
      <c r="E39" s="13" t="n">
        <v>0.02</v>
      </c>
      <c r="F39" s="6" t="s">
        <v>11</v>
      </c>
    </row>
    <row r="40" customFormat="false" ht="15" hidden="false" customHeight="false" outlineLevel="0" collapsed="false">
      <c r="A40" s="0" t="s">
        <v>194</v>
      </c>
      <c r="B40" s="0" t="s">
        <v>26</v>
      </c>
      <c r="C40" s="14" t="n">
        <v>60000</v>
      </c>
      <c r="D40" s="14" t="n">
        <v>60000</v>
      </c>
      <c r="E40" s="14" t="n">
        <v>60000</v>
      </c>
      <c r="F40" s="6" t="s">
        <v>11</v>
      </c>
    </row>
    <row r="41" customFormat="false" ht="15" hidden="false" customHeight="false" outlineLevel="0" collapsed="false">
      <c r="A41" s="4" t="s">
        <v>195</v>
      </c>
      <c r="B41" s="5"/>
      <c r="C41" s="5"/>
      <c r="D41" s="5"/>
      <c r="E41" s="5"/>
      <c r="F41" s="5"/>
      <c r="G41" s="5"/>
    </row>
    <row r="42" customFormat="false" ht="15" hidden="false" customHeight="false" outlineLevel="0" collapsed="false">
      <c r="A42" s="0" t="s">
        <v>196</v>
      </c>
      <c r="B42" s="0" t="s">
        <v>157</v>
      </c>
      <c r="C42" s="14" t="n">
        <v>40</v>
      </c>
      <c r="D42" s="14" t="n">
        <v>40</v>
      </c>
      <c r="E42" s="14" t="n">
        <v>40</v>
      </c>
      <c r="F42" s="6" t="s">
        <v>11</v>
      </c>
    </row>
    <row r="43" customFormat="false" ht="15" hidden="false" customHeight="false" outlineLevel="0" collapsed="false">
      <c r="A43" s="0" t="s">
        <v>197</v>
      </c>
      <c r="B43" s="0" t="s">
        <v>198</v>
      </c>
      <c r="C43" s="12" t="n">
        <v>0.8</v>
      </c>
      <c r="D43" s="12" t="n">
        <v>1</v>
      </c>
      <c r="E43" s="12" t="n">
        <v>1.2</v>
      </c>
      <c r="F43" s="6" t="s">
        <v>11</v>
      </c>
    </row>
    <row r="44" customFormat="false" ht="15" hidden="false" customHeight="false" outlineLevel="0" collapsed="false">
      <c r="A44" s="0" t="s">
        <v>199</v>
      </c>
      <c r="B44" s="0" t="s">
        <v>35</v>
      </c>
      <c r="C44" s="13" t="n">
        <v>0.18</v>
      </c>
      <c r="D44" s="13" t="n">
        <v>0.15</v>
      </c>
      <c r="E44" s="13" t="n">
        <v>0.12</v>
      </c>
      <c r="F44" s="6" t="s">
        <v>11</v>
      </c>
    </row>
    <row r="45" customFormat="false" ht="15" hidden="false" customHeight="false" outlineLevel="0" collapsed="false">
      <c r="A45" s="0" t="s">
        <v>200</v>
      </c>
      <c r="B45" s="0" t="s">
        <v>201</v>
      </c>
      <c r="C45" s="14" t="n">
        <v>27</v>
      </c>
      <c r="D45" s="14" t="n">
        <v>28</v>
      </c>
      <c r="E45" s="14" t="n">
        <v>29</v>
      </c>
      <c r="F45" s="6" t="s">
        <v>10</v>
      </c>
      <c r="G45" s="6" t="s">
        <v>202</v>
      </c>
    </row>
    <row r="46" customFormat="false" ht="15" hidden="false" customHeight="false" outlineLevel="0" collapsed="false">
      <c r="A46" s="0" t="s">
        <v>203</v>
      </c>
      <c r="B46" s="0" t="s">
        <v>204</v>
      </c>
      <c r="C46" s="14" t="n">
        <v>210</v>
      </c>
      <c r="D46" s="14" t="n">
        <v>240</v>
      </c>
      <c r="E46" s="14" t="n">
        <v>280</v>
      </c>
      <c r="F46" s="6" t="s">
        <v>10</v>
      </c>
      <c r="G46" s="6" t="s">
        <v>205</v>
      </c>
    </row>
    <row r="47" customFormat="false" ht="15" hidden="false" customHeight="false" outlineLevel="0" collapsed="false">
      <c r="A47" s="0" t="s">
        <v>206</v>
      </c>
      <c r="B47" s="0" t="s">
        <v>184</v>
      </c>
      <c r="C47" s="14" t="n">
        <v>1200</v>
      </c>
      <c r="D47" s="14" t="n">
        <v>1000</v>
      </c>
      <c r="E47" s="14" t="n">
        <v>800</v>
      </c>
      <c r="F47" s="6" t="s">
        <v>11</v>
      </c>
    </row>
    <row r="48" customFormat="false" ht="15" hidden="false" customHeight="false" outlineLevel="0" collapsed="false">
      <c r="A48" s="0" t="s">
        <v>207</v>
      </c>
      <c r="B48" s="0" t="s">
        <v>184</v>
      </c>
      <c r="C48" s="14" t="n">
        <v>900</v>
      </c>
      <c r="D48" s="14" t="n">
        <v>800</v>
      </c>
      <c r="E48" s="14" t="n">
        <v>700</v>
      </c>
      <c r="F48" s="6" t="s">
        <v>11</v>
      </c>
    </row>
    <row r="49" customFormat="false" ht="15" hidden="false" customHeight="false" outlineLevel="0" collapsed="false">
      <c r="A49" s="0" t="s">
        <v>208</v>
      </c>
      <c r="B49" s="0" t="s">
        <v>184</v>
      </c>
      <c r="C49" s="14" t="n">
        <v>200</v>
      </c>
      <c r="D49" s="14" t="n">
        <v>200</v>
      </c>
      <c r="E49" s="14" t="n">
        <v>200</v>
      </c>
      <c r="F49" s="6" t="s">
        <v>11</v>
      </c>
    </row>
    <row r="50" customFormat="false" ht="15" hidden="false" customHeight="false" outlineLevel="0" collapsed="false">
      <c r="A50" s="0" t="s">
        <v>209</v>
      </c>
      <c r="B50" s="0" t="s">
        <v>210</v>
      </c>
      <c r="C50" s="13" t="n">
        <v>0.06</v>
      </c>
      <c r="D50" s="13" t="n">
        <v>0.04</v>
      </c>
      <c r="E50" s="13" t="n">
        <v>0.03</v>
      </c>
      <c r="F50" s="6" t="s">
        <v>11</v>
      </c>
    </row>
    <row r="51" customFormat="false" ht="15" hidden="false" customHeight="false" outlineLevel="0" collapsed="false">
      <c r="A51" s="0" t="s">
        <v>211</v>
      </c>
      <c r="B51" s="0" t="s">
        <v>26</v>
      </c>
      <c r="C51" s="14" t="n">
        <v>6000</v>
      </c>
      <c r="D51" s="14" t="n">
        <v>6000</v>
      </c>
      <c r="E51" s="14" t="n">
        <v>6000</v>
      </c>
      <c r="F51" s="6" t="s">
        <v>11</v>
      </c>
    </row>
    <row r="52" customFormat="false" ht="15" hidden="false" customHeight="false" outlineLevel="0" collapsed="false">
      <c r="A52" s="4" t="s">
        <v>212</v>
      </c>
      <c r="B52" s="5"/>
      <c r="C52" s="5"/>
      <c r="D52" s="5"/>
      <c r="E52" s="5"/>
      <c r="F52" s="5"/>
      <c r="G52" s="5"/>
    </row>
    <row r="53" customFormat="false" ht="15" hidden="false" customHeight="false" outlineLevel="0" collapsed="false">
      <c r="A53" s="0" t="s">
        <v>213</v>
      </c>
      <c r="B53" s="0" t="s">
        <v>157</v>
      </c>
      <c r="C53" s="14" t="n">
        <v>8</v>
      </c>
      <c r="D53" s="14" t="n">
        <v>8</v>
      </c>
      <c r="E53" s="14" t="n">
        <v>8</v>
      </c>
      <c r="F53" s="6" t="s">
        <v>11</v>
      </c>
    </row>
    <row r="54" customFormat="false" ht="15" hidden="false" customHeight="false" outlineLevel="0" collapsed="false">
      <c r="A54" s="0" t="s">
        <v>214</v>
      </c>
      <c r="B54" s="0" t="s">
        <v>198</v>
      </c>
      <c r="C54" s="12" t="n">
        <v>1.2</v>
      </c>
      <c r="D54" s="12" t="n">
        <v>1.4</v>
      </c>
      <c r="E54" s="12" t="n">
        <v>1.6</v>
      </c>
      <c r="F54" s="6" t="s">
        <v>11</v>
      </c>
    </row>
    <row r="55" customFormat="false" ht="15" hidden="false" customHeight="false" outlineLevel="0" collapsed="false">
      <c r="A55" s="0" t="s">
        <v>215</v>
      </c>
      <c r="B55" s="0" t="s">
        <v>35</v>
      </c>
      <c r="C55" s="13" t="n">
        <v>0.22</v>
      </c>
      <c r="D55" s="13" t="n">
        <v>0.2</v>
      </c>
      <c r="E55" s="13" t="n">
        <v>0.18</v>
      </c>
      <c r="F55" s="6" t="s">
        <v>11</v>
      </c>
    </row>
    <row r="56" customFormat="false" ht="15" hidden="false" customHeight="false" outlineLevel="0" collapsed="false">
      <c r="A56" s="0" t="s">
        <v>200</v>
      </c>
      <c r="B56" s="0" t="s">
        <v>201</v>
      </c>
      <c r="C56" s="14" t="n">
        <v>25</v>
      </c>
      <c r="D56" s="14" t="n">
        <v>26</v>
      </c>
      <c r="E56" s="14" t="n">
        <v>27</v>
      </c>
      <c r="F56" s="6" t="s">
        <v>10</v>
      </c>
      <c r="G56" s="6" t="s">
        <v>216</v>
      </c>
    </row>
    <row r="57" customFormat="false" ht="15" hidden="false" customHeight="false" outlineLevel="0" collapsed="false">
      <c r="A57" s="0" t="s">
        <v>203</v>
      </c>
      <c r="B57" s="0" t="s">
        <v>204</v>
      </c>
      <c r="C57" s="14" t="n">
        <v>220</v>
      </c>
      <c r="D57" s="14" t="n">
        <v>250</v>
      </c>
      <c r="E57" s="14" t="n">
        <v>290</v>
      </c>
      <c r="F57" s="6" t="s">
        <v>10</v>
      </c>
      <c r="G57" s="6" t="s">
        <v>217</v>
      </c>
    </row>
    <row r="58" customFormat="false" ht="15" hidden="false" customHeight="false" outlineLevel="0" collapsed="false">
      <c r="A58" s="0" t="s">
        <v>218</v>
      </c>
      <c r="B58" s="0" t="s">
        <v>184</v>
      </c>
      <c r="C58" s="14" t="n">
        <v>1200</v>
      </c>
      <c r="D58" s="14" t="n">
        <v>1000</v>
      </c>
      <c r="E58" s="14" t="n">
        <v>800</v>
      </c>
      <c r="F58" s="6" t="s">
        <v>11</v>
      </c>
    </row>
    <row r="59" customFormat="false" ht="15" hidden="false" customHeight="false" outlineLevel="0" collapsed="false">
      <c r="A59" s="0" t="s">
        <v>211</v>
      </c>
      <c r="B59" s="0" t="s">
        <v>26</v>
      </c>
      <c r="C59" s="14" t="n">
        <v>6500</v>
      </c>
      <c r="D59" s="14" t="n">
        <v>6500</v>
      </c>
      <c r="E59" s="14" t="n">
        <v>6500</v>
      </c>
      <c r="F59" s="6" t="s">
        <v>11</v>
      </c>
    </row>
    <row r="60" customFormat="false" ht="15" hidden="false" customHeight="false" outlineLevel="0" collapsed="false">
      <c r="A60" s="4" t="s">
        <v>219</v>
      </c>
      <c r="B60" s="5"/>
      <c r="C60" s="5"/>
      <c r="D60" s="5"/>
      <c r="E60" s="5"/>
      <c r="F60" s="5"/>
      <c r="G60" s="5"/>
    </row>
    <row r="61" customFormat="false" ht="15" hidden="false" customHeight="false" outlineLevel="0" collapsed="false">
      <c r="A61" s="0" t="s">
        <v>220</v>
      </c>
      <c r="B61" s="0" t="s">
        <v>221</v>
      </c>
      <c r="C61" s="14" t="n">
        <v>4300</v>
      </c>
      <c r="D61" s="14" t="n">
        <v>3900</v>
      </c>
      <c r="E61" s="14" t="n">
        <v>3600</v>
      </c>
      <c r="F61" s="6" t="s">
        <v>10</v>
      </c>
      <c r="G61" s="6" t="s">
        <v>222</v>
      </c>
    </row>
    <row r="62" customFormat="false" ht="15" hidden="false" customHeight="false" outlineLevel="0" collapsed="false">
      <c r="A62" s="0" t="s">
        <v>223</v>
      </c>
      <c r="B62" s="0" t="s">
        <v>221</v>
      </c>
      <c r="C62" s="14" t="n">
        <v>4500</v>
      </c>
      <c r="D62" s="14" t="n">
        <v>4200</v>
      </c>
      <c r="E62" s="14" t="n">
        <v>3900</v>
      </c>
      <c r="F62" s="6" t="s">
        <v>10</v>
      </c>
      <c r="G62" s="6" t="s">
        <v>224</v>
      </c>
    </row>
    <row r="63" customFormat="false" ht="15" hidden="false" customHeight="false" outlineLevel="0" collapsed="false">
      <c r="A63" s="0" t="s">
        <v>225</v>
      </c>
      <c r="B63" s="0" t="s">
        <v>226</v>
      </c>
      <c r="C63" s="13" t="n">
        <v>0.04</v>
      </c>
      <c r="D63" s="13" t="n">
        <v>0.03</v>
      </c>
      <c r="E63" s="13" t="n">
        <v>0.02</v>
      </c>
      <c r="F63" s="6" t="s">
        <v>11</v>
      </c>
    </row>
    <row r="64" customFormat="false" ht="15" hidden="false" customHeight="false" outlineLevel="0" collapsed="false">
      <c r="A64" s="0" t="s">
        <v>227</v>
      </c>
      <c r="B64" s="0" t="s">
        <v>228</v>
      </c>
      <c r="C64" s="14" t="n">
        <v>25</v>
      </c>
      <c r="D64" s="14" t="n">
        <v>25</v>
      </c>
      <c r="E64" s="14" t="n">
        <v>25</v>
      </c>
      <c r="F64" s="6" t="s">
        <v>11</v>
      </c>
    </row>
    <row r="65" customFormat="false" ht="15" hidden="false" customHeight="false" outlineLevel="0" collapsed="false">
      <c r="A65" s="0" t="s">
        <v>229</v>
      </c>
      <c r="B65" s="0" t="s">
        <v>210</v>
      </c>
      <c r="C65" s="13" t="n">
        <v>0.05</v>
      </c>
      <c r="D65" s="13" t="n">
        <v>0.04</v>
      </c>
      <c r="E65" s="13" t="n">
        <v>0.03</v>
      </c>
      <c r="F65" s="6" t="s">
        <v>11</v>
      </c>
    </row>
    <row r="66" customFormat="false" ht="15" hidden="false" customHeight="false" outlineLevel="0" collapsed="false">
      <c r="A66" s="0" t="s">
        <v>230</v>
      </c>
      <c r="B66" s="0" t="s">
        <v>231</v>
      </c>
      <c r="C66" s="14" t="n">
        <v>20</v>
      </c>
      <c r="D66" s="14" t="n">
        <v>15</v>
      </c>
      <c r="E66" s="14" t="n">
        <v>12</v>
      </c>
      <c r="F66" s="6" t="s">
        <v>11</v>
      </c>
      <c r="G66" s="6" t="s">
        <v>232</v>
      </c>
    </row>
    <row r="67" customFormat="false" ht="15" hidden="false" customHeight="false" outlineLevel="0" collapsed="false">
      <c r="A67" s="0" t="s">
        <v>233</v>
      </c>
      <c r="B67" s="0" t="s">
        <v>234</v>
      </c>
      <c r="C67" s="14" t="n">
        <v>6</v>
      </c>
      <c r="D67" s="14" t="n">
        <v>6</v>
      </c>
      <c r="E67" s="14" t="n">
        <v>6</v>
      </c>
      <c r="F67" s="6" t="s">
        <v>12</v>
      </c>
      <c r="G67" s="6" t="s">
        <v>235</v>
      </c>
    </row>
    <row r="68" customFormat="false" ht="15" hidden="false" customHeight="false" outlineLevel="0" collapsed="false">
      <c r="A68" s="4" t="s">
        <v>236</v>
      </c>
      <c r="B68" s="5"/>
      <c r="C68" s="5"/>
      <c r="D68" s="5"/>
      <c r="E68" s="5"/>
      <c r="F68" s="5"/>
      <c r="G68" s="5"/>
    </row>
    <row r="69" customFormat="false" ht="15" hidden="false" customHeight="false" outlineLevel="0" collapsed="false">
      <c r="A69" s="0" t="s">
        <v>237</v>
      </c>
      <c r="B69" s="0" t="s">
        <v>63</v>
      </c>
      <c r="C69" s="14" t="n">
        <v>500</v>
      </c>
      <c r="D69" s="14" t="n">
        <v>500</v>
      </c>
      <c r="E69" s="14" t="n">
        <v>500</v>
      </c>
      <c r="F69" s="6" t="s">
        <v>12</v>
      </c>
      <c r="G69" s="6" t="s">
        <v>238</v>
      </c>
    </row>
    <row r="70" customFormat="false" ht="15" hidden="false" customHeight="false" outlineLevel="0" collapsed="false">
      <c r="A70" s="0" t="s">
        <v>239</v>
      </c>
      <c r="B70" s="0" t="s">
        <v>35</v>
      </c>
      <c r="C70" s="13" t="n">
        <v>0.4</v>
      </c>
      <c r="D70" s="13" t="n">
        <v>0.4</v>
      </c>
      <c r="E70" s="13" t="n">
        <v>0.4</v>
      </c>
      <c r="F70" s="6" t="s">
        <v>11</v>
      </c>
      <c r="G70" s="6" t="s">
        <v>240</v>
      </c>
    </row>
    <row r="71" customFormat="false" ht="15" hidden="false" customHeight="false" outlineLevel="0" collapsed="false">
      <c r="A71" s="0" t="s">
        <v>241</v>
      </c>
      <c r="B71" s="0" t="s">
        <v>242</v>
      </c>
      <c r="C71" s="14" t="n">
        <v>110</v>
      </c>
      <c r="D71" s="14" t="n">
        <v>150</v>
      </c>
      <c r="E71" s="14" t="n">
        <v>180</v>
      </c>
      <c r="F71" s="6" t="s">
        <v>11</v>
      </c>
      <c r="G71" s="6" t="s">
        <v>243</v>
      </c>
    </row>
    <row r="72" customFormat="false" ht="15" hidden="false" customHeight="false" outlineLevel="0" collapsed="false">
      <c r="A72" s="0" t="s">
        <v>244</v>
      </c>
      <c r="B72" s="0" t="s">
        <v>35</v>
      </c>
      <c r="C72" s="13" t="n">
        <v>0.04</v>
      </c>
      <c r="D72" s="13" t="n">
        <v>0.03</v>
      </c>
      <c r="E72" s="13" t="n">
        <v>0.025</v>
      </c>
      <c r="F72" s="6" t="s">
        <v>11</v>
      </c>
    </row>
    <row r="73" customFormat="false" ht="15" hidden="false" customHeight="false" outlineLevel="0" collapsed="false">
      <c r="A73" s="0" t="s">
        <v>245</v>
      </c>
      <c r="B73" s="0" t="s">
        <v>103</v>
      </c>
      <c r="C73" s="16" t="n">
        <v>12</v>
      </c>
      <c r="D73" s="16" t="n">
        <v>15</v>
      </c>
      <c r="E73" s="16" t="n">
        <v>18</v>
      </c>
      <c r="F73" s="6" t="s">
        <v>10</v>
      </c>
      <c r="G73" s="6" t="s">
        <v>246</v>
      </c>
    </row>
    <row r="74" customFormat="false" ht="15" hidden="false" customHeight="false" outlineLevel="0" collapsed="false">
      <c r="A74" s="0" t="s">
        <v>247</v>
      </c>
      <c r="B74" s="0" t="s">
        <v>248</v>
      </c>
      <c r="C74" s="14" t="n">
        <v>120</v>
      </c>
      <c r="D74" s="14" t="n">
        <v>110</v>
      </c>
      <c r="E74" s="14" t="n">
        <v>105</v>
      </c>
      <c r="F74" s="6" t="s">
        <v>10</v>
      </c>
      <c r="G74" s="6" t="s">
        <v>249</v>
      </c>
    </row>
    <row r="75" customFormat="false" ht="15" hidden="false" customHeight="false" outlineLevel="0" collapsed="false">
      <c r="A75" s="0" t="s">
        <v>250</v>
      </c>
      <c r="B75" s="0" t="s">
        <v>35</v>
      </c>
      <c r="C75" s="13" t="n">
        <v>0.25</v>
      </c>
      <c r="D75" s="13" t="n">
        <v>0.35</v>
      </c>
      <c r="E75" s="13" t="n">
        <v>0.45</v>
      </c>
      <c r="F75" s="6" t="s">
        <v>11</v>
      </c>
      <c r="G75" s="6" t="s">
        <v>251</v>
      </c>
    </row>
    <row r="76" customFormat="false" ht="15" hidden="false" customHeight="false" outlineLevel="0" collapsed="false">
      <c r="A76" s="0" t="s">
        <v>252</v>
      </c>
      <c r="B76" s="0" t="s">
        <v>35</v>
      </c>
      <c r="C76" s="13" t="n">
        <v>0.8</v>
      </c>
      <c r="D76" s="13" t="n">
        <v>0.8</v>
      </c>
      <c r="E76" s="13" t="n">
        <v>0.8</v>
      </c>
      <c r="F76" s="6" t="s">
        <v>11</v>
      </c>
      <c r="G76" s="6" t="s">
        <v>253</v>
      </c>
    </row>
    <row r="77" customFormat="false" ht="15" hidden="false" customHeight="false" outlineLevel="0" collapsed="false">
      <c r="A77" s="0" t="s">
        <v>254</v>
      </c>
      <c r="B77" s="0" t="s">
        <v>105</v>
      </c>
      <c r="C77" s="14" t="n">
        <v>300</v>
      </c>
      <c r="D77" s="14" t="n">
        <v>400</v>
      </c>
      <c r="E77" s="14" t="n">
        <v>500</v>
      </c>
      <c r="F77" s="6" t="s">
        <v>11</v>
      </c>
      <c r="G77" s="6" t="s">
        <v>255</v>
      </c>
    </row>
    <row r="78" customFormat="false" ht="15" hidden="false" customHeight="false" outlineLevel="0" collapsed="false">
      <c r="A78" s="0" t="s">
        <v>256</v>
      </c>
      <c r="B78" s="0" t="s">
        <v>35</v>
      </c>
      <c r="C78" s="13" t="n">
        <v>0.09</v>
      </c>
      <c r="D78" s="13" t="n">
        <v>0.07</v>
      </c>
      <c r="E78" s="13" t="n">
        <v>0.06</v>
      </c>
      <c r="F78" s="6" t="s">
        <v>11</v>
      </c>
    </row>
    <row r="79" customFormat="false" ht="15" hidden="false" customHeight="false" outlineLevel="0" collapsed="false">
      <c r="A79" s="0" t="s">
        <v>257</v>
      </c>
      <c r="B79" s="0" t="s">
        <v>35</v>
      </c>
      <c r="C79" s="13" t="n">
        <v>0.1</v>
      </c>
      <c r="D79" s="13" t="n">
        <v>0.08</v>
      </c>
      <c r="E79" s="13" t="n">
        <v>0.06</v>
      </c>
      <c r="F79" s="6" t="s">
        <v>11</v>
      </c>
    </row>
    <row r="80" customFormat="false" ht="15" hidden="false" customHeight="false" outlineLevel="0" collapsed="false">
      <c r="A80" s="0" t="s">
        <v>258</v>
      </c>
      <c r="B80" s="0" t="s">
        <v>179</v>
      </c>
      <c r="C80" s="14" t="n">
        <v>11</v>
      </c>
      <c r="D80" s="14" t="n">
        <v>10</v>
      </c>
      <c r="E80" s="14" t="n">
        <v>9</v>
      </c>
      <c r="F80" s="6" t="s">
        <v>11</v>
      </c>
    </row>
    <row r="81" customFormat="false" ht="15" hidden="false" customHeight="false" outlineLevel="0" collapsed="false">
      <c r="A81" s="0" t="s">
        <v>259</v>
      </c>
      <c r="B81" s="0" t="s">
        <v>149</v>
      </c>
      <c r="C81" s="14" t="n">
        <v>120</v>
      </c>
      <c r="D81" s="14" t="n">
        <v>100</v>
      </c>
      <c r="E81" s="14" t="n">
        <v>80</v>
      </c>
      <c r="F81" s="6" t="s">
        <v>11</v>
      </c>
      <c r="G81" s="6" t="s">
        <v>260</v>
      </c>
    </row>
    <row r="82" customFormat="false" ht="15" hidden="false" customHeight="false" outlineLevel="0" collapsed="false">
      <c r="A82" s="0" t="s">
        <v>261</v>
      </c>
      <c r="B82" s="0" t="s">
        <v>198</v>
      </c>
      <c r="C82" s="12" t="n">
        <v>1.8</v>
      </c>
      <c r="D82" s="12" t="n">
        <v>2</v>
      </c>
      <c r="E82" s="12" t="n">
        <v>2.4</v>
      </c>
      <c r="F82" s="6" t="s">
        <v>11</v>
      </c>
      <c r="G82" s="6" t="s">
        <v>262</v>
      </c>
    </row>
    <row r="83" customFormat="false" ht="15" hidden="false" customHeight="false" outlineLevel="0" collapsed="false">
      <c r="A83" s="0" t="s">
        <v>263</v>
      </c>
      <c r="B83" s="0" t="s">
        <v>35</v>
      </c>
      <c r="C83" s="13" t="n">
        <v>0.16</v>
      </c>
      <c r="D83" s="13" t="n">
        <v>0.12</v>
      </c>
      <c r="E83" s="13" t="n">
        <v>0.09</v>
      </c>
      <c r="F83" s="6" t="s">
        <v>11</v>
      </c>
    </row>
    <row r="84" customFormat="false" ht="15" hidden="false" customHeight="false" outlineLevel="0" collapsed="false">
      <c r="A84" s="0" t="s">
        <v>264</v>
      </c>
      <c r="B84" s="0" t="s">
        <v>179</v>
      </c>
      <c r="C84" s="14" t="n">
        <v>12</v>
      </c>
      <c r="D84" s="14" t="n">
        <v>11</v>
      </c>
      <c r="E84" s="14" t="n">
        <v>10</v>
      </c>
      <c r="F84" s="6" t="s">
        <v>11</v>
      </c>
      <c r="G84" s="6" t="s">
        <v>265</v>
      </c>
    </row>
    <row r="85" customFormat="false" ht="15" hidden="false" customHeight="false" outlineLevel="0" collapsed="false">
      <c r="A85" s="0" t="s">
        <v>266</v>
      </c>
      <c r="B85" s="0" t="s">
        <v>35</v>
      </c>
      <c r="C85" s="13" t="n">
        <v>0.3</v>
      </c>
      <c r="D85" s="13" t="n">
        <v>0.4</v>
      </c>
      <c r="E85" s="13" t="n">
        <v>0.5</v>
      </c>
      <c r="F85" s="6" t="s">
        <v>11</v>
      </c>
    </row>
    <row r="86" customFormat="false" ht="15" hidden="false" customHeight="false" outlineLevel="0" collapsed="false">
      <c r="A86" s="0" t="s">
        <v>267</v>
      </c>
      <c r="B86" s="0" t="s">
        <v>105</v>
      </c>
      <c r="C86" s="14" t="n">
        <v>650</v>
      </c>
      <c r="D86" s="14" t="n">
        <v>750</v>
      </c>
      <c r="E86" s="14" t="n">
        <v>850</v>
      </c>
      <c r="F86" s="6" t="s">
        <v>10</v>
      </c>
      <c r="G86" s="6" t="s">
        <v>268</v>
      </c>
    </row>
    <row r="87" customFormat="false" ht="15" hidden="false" customHeight="false" outlineLevel="0" collapsed="false">
      <c r="A87" s="0" t="s">
        <v>269</v>
      </c>
      <c r="B87" s="0" t="s">
        <v>26</v>
      </c>
      <c r="C87" s="14" t="n">
        <v>140</v>
      </c>
      <c r="D87" s="14" t="n">
        <v>120</v>
      </c>
      <c r="E87" s="14" t="n">
        <v>100</v>
      </c>
      <c r="F87" s="6" t="s">
        <v>10</v>
      </c>
      <c r="G87" s="6" t="s">
        <v>270</v>
      </c>
    </row>
    <row r="88" customFormat="false" ht="15" hidden="false" customHeight="false" outlineLevel="0" collapsed="false">
      <c r="A88" s="0" t="s">
        <v>271</v>
      </c>
      <c r="B88" s="0" t="s">
        <v>26</v>
      </c>
      <c r="C88" s="14" t="n">
        <v>60</v>
      </c>
      <c r="D88" s="14" t="n">
        <v>40</v>
      </c>
      <c r="E88" s="14" t="n">
        <v>30</v>
      </c>
      <c r="F88" s="6" t="s">
        <v>11</v>
      </c>
      <c r="G88" s="6" t="s">
        <v>272</v>
      </c>
    </row>
    <row r="89" customFormat="false" ht="15" hidden="false" customHeight="false" outlineLevel="0" collapsed="false">
      <c r="A89" s="0" t="s">
        <v>273</v>
      </c>
      <c r="B89" s="0" t="s">
        <v>26</v>
      </c>
      <c r="C89" s="14" t="n">
        <v>500</v>
      </c>
      <c r="D89" s="14" t="n">
        <v>500</v>
      </c>
      <c r="E89" s="14" t="n">
        <v>500</v>
      </c>
      <c r="F89" s="6" t="s">
        <v>11</v>
      </c>
    </row>
    <row r="90" customFormat="false" ht="15" hidden="false" customHeight="false" outlineLevel="0" collapsed="false">
      <c r="A90" s="4" t="s">
        <v>274</v>
      </c>
      <c r="B90" s="5"/>
      <c r="C90" s="5"/>
      <c r="D90" s="5"/>
      <c r="E90" s="5"/>
      <c r="F90" s="5"/>
      <c r="G90" s="5"/>
    </row>
    <row r="91" customFormat="false" ht="15" hidden="false" customHeight="false" outlineLevel="0" collapsed="false">
      <c r="A91" s="0" t="s">
        <v>275</v>
      </c>
      <c r="B91" s="0" t="s">
        <v>63</v>
      </c>
      <c r="C91" s="14" t="n">
        <v>500</v>
      </c>
      <c r="D91" s="14" t="n">
        <v>500</v>
      </c>
      <c r="E91" s="14" t="n">
        <v>500</v>
      </c>
      <c r="F91" s="6" t="s">
        <v>12</v>
      </c>
      <c r="G91" s="6" t="s">
        <v>238</v>
      </c>
    </row>
    <row r="92" customFormat="false" ht="15" hidden="false" customHeight="false" outlineLevel="0" collapsed="false">
      <c r="A92" s="0" t="s">
        <v>276</v>
      </c>
      <c r="B92" s="0" t="s">
        <v>35</v>
      </c>
      <c r="C92" s="13" t="n">
        <v>0.4</v>
      </c>
      <c r="D92" s="13" t="n">
        <v>0.4</v>
      </c>
      <c r="E92" s="13" t="n">
        <v>0.4</v>
      </c>
      <c r="F92" s="6" t="s">
        <v>11</v>
      </c>
      <c r="G92" s="6" t="s">
        <v>240</v>
      </c>
    </row>
    <row r="93" customFormat="false" ht="15" hidden="false" customHeight="false" outlineLevel="0" collapsed="false">
      <c r="A93" s="0" t="s">
        <v>277</v>
      </c>
      <c r="B93" s="0" t="s">
        <v>242</v>
      </c>
      <c r="C93" s="14" t="n">
        <v>110</v>
      </c>
      <c r="D93" s="14" t="n">
        <v>150</v>
      </c>
      <c r="E93" s="14" t="n">
        <v>180</v>
      </c>
      <c r="F93" s="6" t="s">
        <v>11</v>
      </c>
      <c r="G93" s="6" t="s">
        <v>243</v>
      </c>
    </row>
    <row r="94" customFormat="false" ht="15" hidden="false" customHeight="false" outlineLevel="0" collapsed="false">
      <c r="A94" s="0" t="s">
        <v>278</v>
      </c>
      <c r="B94" s="0" t="s">
        <v>35</v>
      </c>
      <c r="C94" s="13" t="n">
        <v>0.04</v>
      </c>
      <c r="D94" s="13" t="n">
        <v>0.03</v>
      </c>
      <c r="E94" s="13" t="n">
        <v>0.025</v>
      </c>
      <c r="F94" s="6" t="s">
        <v>11</v>
      </c>
    </row>
    <row r="95" customFormat="false" ht="15" hidden="false" customHeight="false" outlineLevel="0" collapsed="false">
      <c r="A95" s="0" t="s">
        <v>279</v>
      </c>
      <c r="B95" s="0" t="s">
        <v>103</v>
      </c>
      <c r="C95" s="16" t="n">
        <v>12</v>
      </c>
      <c r="D95" s="16" t="n">
        <v>15</v>
      </c>
      <c r="E95" s="16" t="n">
        <v>18</v>
      </c>
      <c r="F95" s="6" t="s">
        <v>10</v>
      </c>
      <c r="G95" s="6" t="s">
        <v>246</v>
      </c>
    </row>
    <row r="96" customFormat="false" ht="15" hidden="false" customHeight="false" outlineLevel="0" collapsed="false">
      <c r="A96" s="0" t="s">
        <v>280</v>
      </c>
      <c r="B96" s="0" t="s">
        <v>248</v>
      </c>
      <c r="C96" s="14" t="n">
        <v>120</v>
      </c>
      <c r="D96" s="14" t="n">
        <v>110</v>
      </c>
      <c r="E96" s="14" t="n">
        <v>105</v>
      </c>
      <c r="F96" s="6" t="s">
        <v>10</v>
      </c>
      <c r="G96" s="6" t="s">
        <v>249</v>
      </c>
    </row>
    <row r="97" customFormat="false" ht="15" hidden="false" customHeight="false" outlineLevel="0" collapsed="false">
      <c r="A97" s="0" t="s">
        <v>281</v>
      </c>
      <c r="B97" s="0" t="s">
        <v>35</v>
      </c>
      <c r="C97" s="13" t="n">
        <v>0.25</v>
      </c>
      <c r="D97" s="13" t="n">
        <v>0.35</v>
      </c>
      <c r="E97" s="13" t="n">
        <v>0.45</v>
      </c>
      <c r="F97" s="6" t="s">
        <v>11</v>
      </c>
      <c r="G97" s="6" t="s">
        <v>251</v>
      </c>
    </row>
    <row r="98" customFormat="false" ht="15" hidden="false" customHeight="false" outlineLevel="0" collapsed="false">
      <c r="A98" s="0" t="s">
        <v>282</v>
      </c>
      <c r="B98" s="0" t="s">
        <v>35</v>
      </c>
      <c r="C98" s="13" t="n">
        <v>0.8</v>
      </c>
      <c r="D98" s="13" t="n">
        <v>0.8</v>
      </c>
      <c r="E98" s="13" t="n">
        <v>0.8</v>
      </c>
      <c r="F98" s="6" t="s">
        <v>11</v>
      </c>
      <c r="G98" s="6" t="s">
        <v>253</v>
      </c>
    </row>
    <row r="99" customFormat="false" ht="15" hidden="false" customHeight="false" outlineLevel="0" collapsed="false">
      <c r="A99" s="0" t="s">
        <v>283</v>
      </c>
      <c r="B99" s="0" t="s">
        <v>105</v>
      </c>
      <c r="C99" s="14" t="n">
        <v>300</v>
      </c>
      <c r="D99" s="14" t="n">
        <v>400</v>
      </c>
      <c r="E99" s="14" t="n">
        <v>500</v>
      </c>
      <c r="F99" s="6" t="s">
        <v>11</v>
      </c>
      <c r="G99" s="6" t="s">
        <v>255</v>
      </c>
    </row>
    <row r="100" customFormat="false" ht="15" hidden="false" customHeight="false" outlineLevel="0" collapsed="false">
      <c r="A100" s="0" t="s">
        <v>284</v>
      </c>
      <c r="B100" s="0" t="s">
        <v>35</v>
      </c>
      <c r="C100" s="13" t="n">
        <v>0.09</v>
      </c>
      <c r="D100" s="13" t="n">
        <v>0.07</v>
      </c>
      <c r="E100" s="13" t="n">
        <v>0.06</v>
      </c>
      <c r="F100" s="6" t="s">
        <v>11</v>
      </c>
    </row>
    <row r="101" customFormat="false" ht="15" hidden="false" customHeight="false" outlineLevel="0" collapsed="false">
      <c r="A101" s="0" t="s">
        <v>285</v>
      </c>
      <c r="B101" s="0" t="s">
        <v>35</v>
      </c>
      <c r="C101" s="13" t="n">
        <v>0.1</v>
      </c>
      <c r="D101" s="13" t="n">
        <v>0.08</v>
      </c>
      <c r="E101" s="13" t="n">
        <v>0.06</v>
      </c>
      <c r="F101" s="6" t="s">
        <v>11</v>
      </c>
    </row>
    <row r="102" customFormat="false" ht="15" hidden="false" customHeight="false" outlineLevel="0" collapsed="false">
      <c r="A102" s="0" t="s">
        <v>286</v>
      </c>
      <c r="B102" s="0" t="s">
        <v>179</v>
      </c>
      <c r="C102" s="14" t="n">
        <v>11</v>
      </c>
      <c r="D102" s="14" t="n">
        <v>10</v>
      </c>
      <c r="E102" s="14" t="n">
        <v>9</v>
      </c>
      <c r="F102" s="6" t="s">
        <v>11</v>
      </c>
    </row>
    <row r="103" customFormat="false" ht="15" hidden="false" customHeight="false" outlineLevel="0" collapsed="false">
      <c r="A103" s="0" t="s">
        <v>287</v>
      </c>
      <c r="B103" s="0" t="s">
        <v>149</v>
      </c>
      <c r="C103" s="14" t="n">
        <v>120</v>
      </c>
      <c r="D103" s="14" t="n">
        <v>100</v>
      </c>
      <c r="E103" s="14" t="n">
        <v>80</v>
      </c>
      <c r="F103" s="6" t="s">
        <v>11</v>
      </c>
      <c r="G103" s="6" t="s">
        <v>260</v>
      </c>
    </row>
    <row r="104" customFormat="false" ht="15" hidden="false" customHeight="false" outlineLevel="0" collapsed="false">
      <c r="A104" s="0" t="s">
        <v>288</v>
      </c>
      <c r="B104" s="0" t="s">
        <v>198</v>
      </c>
      <c r="C104" s="12" t="n">
        <v>1.8</v>
      </c>
      <c r="D104" s="12" t="n">
        <v>2</v>
      </c>
      <c r="E104" s="12" t="n">
        <v>2.4</v>
      </c>
      <c r="F104" s="6" t="s">
        <v>11</v>
      </c>
      <c r="G104" s="6" t="s">
        <v>262</v>
      </c>
    </row>
    <row r="105" customFormat="false" ht="15" hidden="false" customHeight="false" outlineLevel="0" collapsed="false">
      <c r="A105" s="0" t="s">
        <v>289</v>
      </c>
      <c r="B105" s="0" t="s">
        <v>35</v>
      </c>
      <c r="C105" s="13" t="n">
        <v>0.16</v>
      </c>
      <c r="D105" s="13" t="n">
        <v>0.12</v>
      </c>
      <c r="E105" s="13" t="n">
        <v>0.09</v>
      </c>
      <c r="F105" s="6" t="s">
        <v>11</v>
      </c>
    </row>
    <row r="106" customFormat="false" ht="15" hidden="false" customHeight="false" outlineLevel="0" collapsed="false">
      <c r="A106" s="0" t="s">
        <v>290</v>
      </c>
      <c r="B106" s="0" t="s">
        <v>179</v>
      </c>
      <c r="C106" s="14" t="n">
        <v>12</v>
      </c>
      <c r="D106" s="14" t="n">
        <v>11</v>
      </c>
      <c r="E106" s="14" t="n">
        <v>10</v>
      </c>
      <c r="F106" s="6" t="s">
        <v>11</v>
      </c>
      <c r="G106" s="6" t="s">
        <v>265</v>
      </c>
    </row>
    <row r="107" customFormat="false" ht="15" hidden="false" customHeight="false" outlineLevel="0" collapsed="false">
      <c r="A107" s="0" t="s">
        <v>291</v>
      </c>
      <c r="B107" s="0" t="s">
        <v>35</v>
      </c>
      <c r="C107" s="13" t="n">
        <v>0.3</v>
      </c>
      <c r="D107" s="13" t="n">
        <v>0.4</v>
      </c>
      <c r="E107" s="13" t="n">
        <v>0.5</v>
      </c>
      <c r="F107" s="6" t="s">
        <v>11</v>
      </c>
    </row>
    <row r="108" customFormat="false" ht="15" hidden="false" customHeight="false" outlineLevel="0" collapsed="false">
      <c r="A108" s="0" t="s">
        <v>292</v>
      </c>
      <c r="B108" s="0" t="s">
        <v>105</v>
      </c>
      <c r="C108" s="14" t="n">
        <v>650</v>
      </c>
      <c r="D108" s="14" t="n">
        <v>750</v>
      </c>
      <c r="E108" s="14" t="n">
        <v>850</v>
      </c>
      <c r="F108" s="6" t="s">
        <v>10</v>
      </c>
      <c r="G108" s="6" t="s">
        <v>268</v>
      </c>
    </row>
    <row r="109" customFormat="false" ht="15" hidden="false" customHeight="false" outlineLevel="0" collapsed="false">
      <c r="A109" s="0" t="s">
        <v>293</v>
      </c>
      <c r="B109" s="0" t="s">
        <v>26</v>
      </c>
      <c r="C109" s="14" t="n">
        <v>140</v>
      </c>
      <c r="D109" s="14" t="n">
        <v>120</v>
      </c>
      <c r="E109" s="14" t="n">
        <v>100</v>
      </c>
      <c r="F109" s="6" t="s">
        <v>10</v>
      </c>
      <c r="G109" s="6" t="s">
        <v>270</v>
      </c>
    </row>
    <row r="110" customFormat="false" ht="15" hidden="false" customHeight="false" outlineLevel="0" collapsed="false">
      <c r="A110" s="0" t="s">
        <v>294</v>
      </c>
      <c r="B110" s="0" t="s">
        <v>26</v>
      </c>
      <c r="C110" s="14" t="n">
        <v>60</v>
      </c>
      <c r="D110" s="14" t="n">
        <v>40</v>
      </c>
      <c r="E110" s="14" t="n">
        <v>30</v>
      </c>
      <c r="F110" s="6" t="s">
        <v>11</v>
      </c>
      <c r="G110" s="6" t="s">
        <v>272</v>
      </c>
    </row>
    <row r="111" customFormat="false" ht="15" hidden="false" customHeight="false" outlineLevel="0" collapsed="false">
      <c r="A111" s="0" t="s">
        <v>295</v>
      </c>
      <c r="B111" s="0" t="s">
        <v>26</v>
      </c>
      <c r="C111" s="14" t="n">
        <v>500</v>
      </c>
      <c r="D111" s="14" t="n">
        <v>500</v>
      </c>
      <c r="E111" s="14" t="n">
        <v>500</v>
      </c>
      <c r="F111" s="6" t="s">
        <v>11</v>
      </c>
    </row>
    <row r="112" customFormat="false" ht="15" hidden="false" customHeight="false" outlineLevel="0" collapsed="false">
      <c r="A112" s="4" t="s">
        <v>296</v>
      </c>
      <c r="B112" s="5"/>
      <c r="C112" s="5"/>
      <c r="D112" s="5"/>
      <c r="E112" s="5"/>
      <c r="F112" s="5"/>
      <c r="G112" s="5"/>
    </row>
    <row r="113" customFormat="false" ht="15" hidden="false" customHeight="false" outlineLevel="0" collapsed="false">
      <c r="A113" s="0" t="s">
        <v>297</v>
      </c>
      <c r="B113" s="0" t="s">
        <v>63</v>
      </c>
      <c r="C113" s="14" t="n">
        <v>500</v>
      </c>
      <c r="D113" s="14" t="n">
        <v>500</v>
      </c>
      <c r="E113" s="14" t="n">
        <v>500</v>
      </c>
      <c r="F113" s="6" t="s">
        <v>12</v>
      </c>
      <c r="G113" s="6" t="s">
        <v>238</v>
      </c>
    </row>
    <row r="114" customFormat="false" ht="15" hidden="false" customHeight="false" outlineLevel="0" collapsed="false">
      <c r="A114" s="0" t="s">
        <v>298</v>
      </c>
      <c r="B114" s="0" t="s">
        <v>35</v>
      </c>
      <c r="C114" s="13" t="n">
        <v>0.4</v>
      </c>
      <c r="D114" s="13" t="n">
        <v>0.4</v>
      </c>
      <c r="E114" s="13" t="n">
        <v>0.4</v>
      </c>
      <c r="F114" s="6" t="s">
        <v>11</v>
      </c>
      <c r="G114" s="6" t="s">
        <v>240</v>
      </c>
    </row>
    <row r="115" customFormat="false" ht="15" hidden="false" customHeight="false" outlineLevel="0" collapsed="false">
      <c r="A115" s="0" t="s">
        <v>299</v>
      </c>
      <c r="B115" s="0" t="s">
        <v>242</v>
      </c>
      <c r="C115" s="14" t="n">
        <v>110</v>
      </c>
      <c r="D115" s="14" t="n">
        <v>150</v>
      </c>
      <c r="E115" s="14" t="n">
        <v>180</v>
      </c>
      <c r="F115" s="6" t="s">
        <v>11</v>
      </c>
      <c r="G115" s="6" t="s">
        <v>243</v>
      </c>
    </row>
    <row r="116" customFormat="false" ht="15" hidden="false" customHeight="false" outlineLevel="0" collapsed="false">
      <c r="A116" s="0" t="s">
        <v>300</v>
      </c>
      <c r="B116" s="0" t="s">
        <v>35</v>
      </c>
      <c r="C116" s="13" t="n">
        <v>0.04</v>
      </c>
      <c r="D116" s="13" t="n">
        <v>0.03</v>
      </c>
      <c r="E116" s="13" t="n">
        <v>0.025</v>
      </c>
      <c r="F116" s="6" t="s">
        <v>11</v>
      </c>
    </row>
    <row r="117" customFormat="false" ht="15" hidden="false" customHeight="false" outlineLevel="0" collapsed="false">
      <c r="A117" s="0" t="s">
        <v>301</v>
      </c>
      <c r="B117" s="0" t="s">
        <v>103</v>
      </c>
      <c r="C117" s="16" t="n">
        <v>12</v>
      </c>
      <c r="D117" s="16" t="n">
        <v>15</v>
      </c>
      <c r="E117" s="16" t="n">
        <v>18</v>
      </c>
      <c r="F117" s="6" t="s">
        <v>10</v>
      </c>
      <c r="G117" s="6" t="s">
        <v>246</v>
      </c>
    </row>
    <row r="118" customFormat="false" ht="15" hidden="false" customHeight="false" outlineLevel="0" collapsed="false">
      <c r="A118" s="0" t="s">
        <v>302</v>
      </c>
      <c r="B118" s="0" t="s">
        <v>248</v>
      </c>
      <c r="C118" s="14" t="n">
        <v>120</v>
      </c>
      <c r="D118" s="14" t="n">
        <v>110</v>
      </c>
      <c r="E118" s="14" t="n">
        <v>105</v>
      </c>
      <c r="F118" s="6" t="s">
        <v>10</v>
      </c>
      <c r="G118" s="6" t="s">
        <v>249</v>
      </c>
    </row>
    <row r="119" customFormat="false" ht="15" hidden="false" customHeight="false" outlineLevel="0" collapsed="false">
      <c r="A119" s="0" t="s">
        <v>303</v>
      </c>
      <c r="B119" s="0" t="s">
        <v>35</v>
      </c>
      <c r="C119" s="13" t="n">
        <v>0.25</v>
      </c>
      <c r="D119" s="13" t="n">
        <v>0.35</v>
      </c>
      <c r="E119" s="13" t="n">
        <v>0.45</v>
      </c>
      <c r="F119" s="6" t="s">
        <v>11</v>
      </c>
      <c r="G119" s="6" t="s">
        <v>251</v>
      </c>
    </row>
    <row r="120" customFormat="false" ht="15" hidden="false" customHeight="false" outlineLevel="0" collapsed="false">
      <c r="A120" s="0" t="s">
        <v>304</v>
      </c>
      <c r="B120" s="0" t="s">
        <v>35</v>
      </c>
      <c r="C120" s="13" t="n">
        <v>0.8</v>
      </c>
      <c r="D120" s="13" t="n">
        <v>0.8</v>
      </c>
      <c r="E120" s="13" t="n">
        <v>0.8</v>
      </c>
      <c r="F120" s="6" t="s">
        <v>11</v>
      </c>
      <c r="G120" s="6" t="s">
        <v>253</v>
      </c>
    </row>
    <row r="121" customFormat="false" ht="15" hidden="false" customHeight="false" outlineLevel="0" collapsed="false">
      <c r="A121" s="0" t="s">
        <v>305</v>
      </c>
      <c r="B121" s="0" t="s">
        <v>105</v>
      </c>
      <c r="C121" s="14" t="n">
        <v>300</v>
      </c>
      <c r="D121" s="14" t="n">
        <v>400</v>
      </c>
      <c r="E121" s="14" t="n">
        <v>500</v>
      </c>
      <c r="F121" s="6" t="s">
        <v>11</v>
      </c>
      <c r="G121" s="6" t="s">
        <v>255</v>
      </c>
    </row>
    <row r="122" customFormat="false" ht="15" hidden="false" customHeight="false" outlineLevel="0" collapsed="false">
      <c r="A122" s="0" t="s">
        <v>306</v>
      </c>
      <c r="B122" s="0" t="s">
        <v>35</v>
      </c>
      <c r="C122" s="13" t="n">
        <v>0.09</v>
      </c>
      <c r="D122" s="13" t="n">
        <v>0.07</v>
      </c>
      <c r="E122" s="13" t="n">
        <v>0.06</v>
      </c>
      <c r="F122" s="6" t="s">
        <v>11</v>
      </c>
    </row>
    <row r="123" customFormat="false" ht="15" hidden="false" customHeight="false" outlineLevel="0" collapsed="false">
      <c r="A123" s="0" t="s">
        <v>307</v>
      </c>
      <c r="B123" s="0" t="s">
        <v>35</v>
      </c>
      <c r="C123" s="13" t="n">
        <v>0.1</v>
      </c>
      <c r="D123" s="13" t="n">
        <v>0.08</v>
      </c>
      <c r="E123" s="13" t="n">
        <v>0.06</v>
      </c>
      <c r="F123" s="6" t="s">
        <v>11</v>
      </c>
    </row>
    <row r="124" customFormat="false" ht="15" hidden="false" customHeight="false" outlineLevel="0" collapsed="false">
      <c r="A124" s="0" t="s">
        <v>308</v>
      </c>
      <c r="B124" s="0" t="s">
        <v>179</v>
      </c>
      <c r="C124" s="14" t="n">
        <v>11</v>
      </c>
      <c r="D124" s="14" t="n">
        <v>10</v>
      </c>
      <c r="E124" s="14" t="n">
        <v>9</v>
      </c>
      <c r="F124" s="6" t="s">
        <v>11</v>
      </c>
    </row>
    <row r="125" customFormat="false" ht="15" hidden="false" customHeight="false" outlineLevel="0" collapsed="false">
      <c r="A125" s="0" t="s">
        <v>309</v>
      </c>
      <c r="B125" s="0" t="s">
        <v>149</v>
      </c>
      <c r="C125" s="14" t="n">
        <v>120</v>
      </c>
      <c r="D125" s="14" t="n">
        <v>100</v>
      </c>
      <c r="E125" s="14" t="n">
        <v>80</v>
      </c>
      <c r="F125" s="6" t="s">
        <v>11</v>
      </c>
      <c r="G125" s="6" t="s">
        <v>260</v>
      </c>
    </row>
    <row r="126" customFormat="false" ht="15" hidden="false" customHeight="false" outlineLevel="0" collapsed="false">
      <c r="A126" s="0" t="s">
        <v>310</v>
      </c>
      <c r="B126" s="0" t="s">
        <v>198</v>
      </c>
      <c r="C126" s="12" t="n">
        <v>1.8</v>
      </c>
      <c r="D126" s="12" t="n">
        <v>2</v>
      </c>
      <c r="E126" s="12" t="n">
        <v>2.4</v>
      </c>
      <c r="F126" s="6" t="s">
        <v>11</v>
      </c>
      <c r="G126" s="6" t="s">
        <v>262</v>
      </c>
    </row>
    <row r="127" customFormat="false" ht="15" hidden="false" customHeight="false" outlineLevel="0" collapsed="false">
      <c r="A127" s="0" t="s">
        <v>311</v>
      </c>
      <c r="B127" s="0" t="s">
        <v>35</v>
      </c>
      <c r="C127" s="13" t="n">
        <v>0.16</v>
      </c>
      <c r="D127" s="13" t="n">
        <v>0.12</v>
      </c>
      <c r="E127" s="13" t="n">
        <v>0.09</v>
      </c>
      <c r="F127" s="6" t="s">
        <v>11</v>
      </c>
    </row>
    <row r="128" customFormat="false" ht="15" hidden="false" customHeight="false" outlineLevel="0" collapsed="false">
      <c r="A128" s="0" t="s">
        <v>312</v>
      </c>
      <c r="B128" s="0" t="s">
        <v>179</v>
      </c>
      <c r="C128" s="14" t="n">
        <v>12</v>
      </c>
      <c r="D128" s="14" t="n">
        <v>11</v>
      </c>
      <c r="E128" s="14" t="n">
        <v>10</v>
      </c>
      <c r="F128" s="6" t="s">
        <v>11</v>
      </c>
      <c r="G128" s="6" t="s">
        <v>265</v>
      </c>
    </row>
    <row r="129" customFormat="false" ht="15" hidden="false" customHeight="false" outlineLevel="0" collapsed="false">
      <c r="A129" s="0" t="s">
        <v>313</v>
      </c>
      <c r="B129" s="0" t="s">
        <v>35</v>
      </c>
      <c r="C129" s="13" t="n">
        <v>0.3</v>
      </c>
      <c r="D129" s="13" t="n">
        <v>0.4</v>
      </c>
      <c r="E129" s="13" t="n">
        <v>0.5</v>
      </c>
      <c r="F129" s="6" t="s">
        <v>11</v>
      </c>
    </row>
    <row r="130" customFormat="false" ht="15" hidden="false" customHeight="false" outlineLevel="0" collapsed="false">
      <c r="A130" s="0" t="s">
        <v>314</v>
      </c>
      <c r="B130" s="0" t="s">
        <v>105</v>
      </c>
      <c r="C130" s="14" t="n">
        <v>650</v>
      </c>
      <c r="D130" s="14" t="n">
        <v>750</v>
      </c>
      <c r="E130" s="14" t="n">
        <v>850</v>
      </c>
      <c r="F130" s="6" t="s">
        <v>10</v>
      </c>
      <c r="G130" s="6" t="s">
        <v>268</v>
      </c>
    </row>
    <row r="131" customFormat="false" ht="15" hidden="false" customHeight="false" outlineLevel="0" collapsed="false">
      <c r="A131" s="0" t="s">
        <v>315</v>
      </c>
      <c r="B131" s="0" t="s">
        <v>26</v>
      </c>
      <c r="C131" s="14" t="n">
        <v>140</v>
      </c>
      <c r="D131" s="14" t="n">
        <v>120</v>
      </c>
      <c r="E131" s="14" t="n">
        <v>100</v>
      </c>
      <c r="F131" s="6" t="s">
        <v>10</v>
      </c>
      <c r="G131" s="6" t="s">
        <v>270</v>
      </c>
    </row>
    <row r="132" customFormat="false" ht="15" hidden="false" customHeight="false" outlineLevel="0" collapsed="false">
      <c r="A132" s="0" t="s">
        <v>316</v>
      </c>
      <c r="B132" s="0" t="s">
        <v>26</v>
      </c>
      <c r="C132" s="14" t="n">
        <v>60</v>
      </c>
      <c r="D132" s="14" t="n">
        <v>40</v>
      </c>
      <c r="E132" s="14" t="n">
        <v>30</v>
      </c>
      <c r="F132" s="6" t="s">
        <v>11</v>
      </c>
      <c r="G132" s="6" t="s">
        <v>272</v>
      </c>
    </row>
    <row r="133" customFormat="false" ht="15" hidden="false" customHeight="false" outlineLevel="0" collapsed="false">
      <c r="A133" s="0" t="s">
        <v>317</v>
      </c>
      <c r="B133" s="0" t="s">
        <v>26</v>
      </c>
      <c r="C133" s="14" t="n">
        <v>500</v>
      </c>
      <c r="D133" s="14" t="n">
        <v>500</v>
      </c>
      <c r="E133" s="14" t="n">
        <v>500</v>
      </c>
      <c r="F133" s="6" t="s">
        <v>11</v>
      </c>
    </row>
    <row r="134" customFormat="false" ht="15" hidden="false" customHeight="false" outlineLevel="0" collapsed="false">
      <c r="A134" s="4" t="s">
        <v>318</v>
      </c>
      <c r="B134" s="5"/>
      <c r="C134" s="5"/>
      <c r="D134" s="5"/>
      <c r="E134" s="5"/>
      <c r="F134" s="5"/>
      <c r="G134" s="5"/>
    </row>
    <row r="135" customFormat="false" ht="15" hidden="false" customHeight="false" outlineLevel="0" collapsed="false">
      <c r="A135" s="0" t="s">
        <v>319</v>
      </c>
      <c r="B135" s="0" t="s">
        <v>63</v>
      </c>
      <c r="C135" s="14" t="n">
        <v>500</v>
      </c>
      <c r="D135" s="14" t="n">
        <v>500</v>
      </c>
      <c r="E135" s="14" t="n">
        <v>500</v>
      </c>
      <c r="F135" s="6" t="s">
        <v>12</v>
      </c>
      <c r="G135" s="6" t="s">
        <v>238</v>
      </c>
    </row>
    <row r="136" customFormat="false" ht="15" hidden="false" customHeight="false" outlineLevel="0" collapsed="false">
      <c r="A136" s="0" t="s">
        <v>320</v>
      </c>
      <c r="B136" s="0" t="s">
        <v>35</v>
      </c>
      <c r="C136" s="13" t="n">
        <v>0.4</v>
      </c>
      <c r="D136" s="13" t="n">
        <v>0.4</v>
      </c>
      <c r="E136" s="13" t="n">
        <v>0.4</v>
      </c>
      <c r="F136" s="6" t="s">
        <v>11</v>
      </c>
      <c r="G136" s="6" t="s">
        <v>240</v>
      </c>
    </row>
    <row r="137" customFormat="false" ht="15" hidden="false" customHeight="false" outlineLevel="0" collapsed="false">
      <c r="A137" s="0" t="s">
        <v>321</v>
      </c>
      <c r="B137" s="0" t="s">
        <v>242</v>
      </c>
      <c r="C137" s="14" t="n">
        <v>110</v>
      </c>
      <c r="D137" s="14" t="n">
        <v>150</v>
      </c>
      <c r="E137" s="14" t="n">
        <v>180</v>
      </c>
      <c r="F137" s="6" t="s">
        <v>11</v>
      </c>
      <c r="G137" s="6" t="s">
        <v>243</v>
      </c>
    </row>
    <row r="138" customFormat="false" ht="15" hidden="false" customHeight="false" outlineLevel="0" collapsed="false">
      <c r="A138" s="0" t="s">
        <v>322</v>
      </c>
      <c r="B138" s="0" t="s">
        <v>35</v>
      </c>
      <c r="C138" s="13" t="n">
        <v>0.04</v>
      </c>
      <c r="D138" s="13" t="n">
        <v>0.03</v>
      </c>
      <c r="E138" s="13" t="n">
        <v>0.025</v>
      </c>
      <c r="F138" s="6" t="s">
        <v>11</v>
      </c>
    </row>
    <row r="139" customFormat="false" ht="15" hidden="false" customHeight="false" outlineLevel="0" collapsed="false">
      <c r="A139" s="0" t="s">
        <v>323</v>
      </c>
      <c r="B139" s="0" t="s">
        <v>103</v>
      </c>
      <c r="C139" s="16" t="n">
        <v>12</v>
      </c>
      <c r="D139" s="16" t="n">
        <v>15</v>
      </c>
      <c r="E139" s="16" t="n">
        <v>18</v>
      </c>
      <c r="F139" s="6" t="s">
        <v>10</v>
      </c>
      <c r="G139" s="6" t="s">
        <v>246</v>
      </c>
    </row>
    <row r="140" customFormat="false" ht="15" hidden="false" customHeight="false" outlineLevel="0" collapsed="false">
      <c r="A140" s="0" t="s">
        <v>324</v>
      </c>
      <c r="B140" s="0" t="s">
        <v>248</v>
      </c>
      <c r="C140" s="14" t="n">
        <v>120</v>
      </c>
      <c r="D140" s="14" t="n">
        <v>110</v>
      </c>
      <c r="E140" s="14" t="n">
        <v>105</v>
      </c>
      <c r="F140" s="6" t="s">
        <v>10</v>
      </c>
      <c r="G140" s="6" t="s">
        <v>249</v>
      </c>
    </row>
    <row r="141" customFormat="false" ht="15" hidden="false" customHeight="false" outlineLevel="0" collapsed="false">
      <c r="A141" s="0" t="s">
        <v>325</v>
      </c>
      <c r="B141" s="0" t="s">
        <v>35</v>
      </c>
      <c r="C141" s="13" t="n">
        <v>0.25</v>
      </c>
      <c r="D141" s="13" t="n">
        <v>0.35</v>
      </c>
      <c r="E141" s="13" t="n">
        <v>0.45</v>
      </c>
      <c r="F141" s="6" t="s">
        <v>11</v>
      </c>
      <c r="G141" s="6" t="s">
        <v>251</v>
      </c>
    </row>
    <row r="142" customFormat="false" ht="15" hidden="false" customHeight="false" outlineLevel="0" collapsed="false">
      <c r="A142" s="0" t="s">
        <v>326</v>
      </c>
      <c r="B142" s="0" t="s">
        <v>35</v>
      </c>
      <c r="C142" s="13" t="n">
        <v>0.8</v>
      </c>
      <c r="D142" s="13" t="n">
        <v>0.8</v>
      </c>
      <c r="E142" s="13" t="n">
        <v>0.8</v>
      </c>
      <c r="F142" s="6" t="s">
        <v>11</v>
      </c>
      <c r="G142" s="6" t="s">
        <v>253</v>
      </c>
    </row>
    <row r="143" customFormat="false" ht="15" hidden="false" customHeight="false" outlineLevel="0" collapsed="false">
      <c r="A143" s="0" t="s">
        <v>327</v>
      </c>
      <c r="B143" s="0" t="s">
        <v>105</v>
      </c>
      <c r="C143" s="14" t="n">
        <v>300</v>
      </c>
      <c r="D143" s="14" t="n">
        <v>400</v>
      </c>
      <c r="E143" s="14" t="n">
        <v>500</v>
      </c>
      <c r="F143" s="6" t="s">
        <v>11</v>
      </c>
      <c r="G143" s="6" t="s">
        <v>255</v>
      </c>
    </row>
    <row r="144" customFormat="false" ht="15" hidden="false" customHeight="false" outlineLevel="0" collapsed="false">
      <c r="A144" s="0" t="s">
        <v>328</v>
      </c>
      <c r="B144" s="0" t="s">
        <v>35</v>
      </c>
      <c r="C144" s="13" t="n">
        <v>0.09</v>
      </c>
      <c r="D144" s="13" t="n">
        <v>0.07</v>
      </c>
      <c r="E144" s="13" t="n">
        <v>0.06</v>
      </c>
      <c r="F144" s="6" t="s">
        <v>11</v>
      </c>
    </row>
    <row r="145" customFormat="false" ht="15" hidden="false" customHeight="false" outlineLevel="0" collapsed="false">
      <c r="A145" s="0" t="s">
        <v>329</v>
      </c>
      <c r="B145" s="0" t="s">
        <v>35</v>
      </c>
      <c r="C145" s="13" t="n">
        <v>0.1</v>
      </c>
      <c r="D145" s="13" t="n">
        <v>0.08</v>
      </c>
      <c r="E145" s="13" t="n">
        <v>0.06</v>
      </c>
      <c r="F145" s="6" t="s">
        <v>11</v>
      </c>
    </row>
    <row r="146" customFormat="false" ht="15" hidden="false" customHeight="false" outlineLevel="0" collapsed="false">
      <c r="A146" s="0" t="s">
        <v>330</v>
      </c>
      <c r="B146" s="0" t="s">
        <v>179</v>
      </c>
      <c r="C146" s="14" t="n">
        <v>11</v>
      </c>
      <c r="D146" s="14" t="n">
        <v>10</v>
      </c>
      <c r="E146" s="14" t="n">
        <v>9</v>
      </c>
      <c r="F146" s="6" t="s">
        <v>11</v>
      </c>
    </row>
    <row r="147" customFormat="false" ht="15" hidden="false" customHeight="false" outlineLevel="0" collapsed="false">
      <c r="A147" s="0" t="s">
        <v>331</v>
      </c>
      <c r="B147" s="0" t="s">
        <v>149</v>
      </c>
      <c r="C147" s="14" t="n">
        <v>120</v>
      </c>
      <c r="D147" s="14" t="n">
        <v>100</v>
      </c>
      <c r="E147" s="14" t="n">
        <v>80</v>
      </c>
      <c r="F147" s="6" t="s">
        <v>11</v>
      </c>
      <c r="G147" s="6" t="s">
        <v>260</v>
      </c>
    </row>
    <row r="148" customFormat="false" ht="15" hidden="false" customHeight="false" outlineLevel="0" collapsed="false">
      <c r="A148" s="0" t="s">
        <v>332</v>
      </c>
      <c r="B148" s="0" t="s">
        <v>198</v>
      </c>
      <c r="C148" s="12" t="n">
        <v>1.8</v>
      </c>
      <c r="D148" s="12" t="n">
        <v>2</v>
      </c>
      <c r="E148" s="12" t="n">
        <v>2.4</v>
      </c>
      <c r="F148" s="6" t="s">
        <v>11</v>
      </c>
      <c r="G148" s="6" t="s">
        <v>262</v>
      </c>
    </row>
    <row r="149" customFormat="false" ht="15" hidden="false" customHeight="false" outlineLevel="0" collapsed="false">
      <c r="A149" s="0" t="s">
        <v>333</v>
      </c>
      <c r="B149" s="0" t="s">
        <v>35</v>
      </c>
      <c r="C149" s="13" t="n">
        <v>0.16</v>
      </c>
      <c r="D149" s="13" t="n">
        <v>0.12</v>
      </c>
      <c r="E149" s="13" t="n">
        <v>0.09</v>
      </c>
      <c r="F149" s="6" t="s">
        <v>11</v>
      </c>
    </row>
    <row r="150" customFormat="false" ht="15" hidden="false" customHeight="false" outlineLevel="0" collapsed="false">
      <c r="A150" s="0" t="s">
        <v>334</v>
      </c>
      <c r="B150" s="0" t="s">
        <v>179</v>
      </c>
      <c r="C150" s="14" t="n">
        <v>12</v>
      </c>
      <c r="D150" s="14" t="n">
        <v>11</v>
      </c>
      <c r="E150" s="14" t="n">
        <v>10</v>
      </c>
      <c r="F150" s="6" t="s">
        <v>11</v>
      </c>
      <c r="G150" s="6" t="s">
        <v>265</v>
      </c>
    </row>
    <row r="151" customFormat="false" ht="15" hidden="false" customHeight="false" outlineLevel="0" collapsed="false">
      <c r="A151" s="0" t="s">
        <v>335</v>
      </c>
      <c r="B151" s="0" t="s">
        <v>35</v>
      </c>
      <c r="C151" s="13" t="n">
        <v>0.3</v>
      </c>
      <c r="D151" s="13" t="n">
        <v>0.4</v>
      </c>
      <c r="E151" s="13" t="n">
        <v>0.5</v>
      </c>
      <c r="F151" s="6" t="s">
        <v>11</v>
      </c>
    </row>
    <row r="152" customFormat="false" ht="15" hidden="false" customHeight="false" outlineLevel="0" collapsed="false">
      <c r="A152" s="0" t="s">
        <v>336</v>
      </c>
      <c r="B152" s="0" t="s">
        <v>105</v>
      </c>
      <c r="C152" s="14" t="n">
        <v>650</v>
      </c>
      <c r="D152" s="14" t="n">
        <v>750</v>
      </c>
      <c r="E152" s="14" t="n">
        <v>850</v>
      </c>
      <c r="F152" s="6" t="s">
        <v>10</v>
      </c>
      <c r="G152" s="6" t="s">
        <v>268</v>
      </c>
    </row>
    <row r="153" customFormat="false" ht="15" hidden="false" customHeight="false" outlineLevel="0" collapsed="false">
      <c r="A153" s="0" t="s">
        <v>337</v>
      </c>
      <c r="B153" s="0" t="s">
        <v>26</v>
      </c>
      <c r="C153" s="14" t="n">
        <v>140</v>
      </c>
      <c r="D153" s="14" t="n">
        <v>120</v>
      </c>
      <c r="E153" s="14" t="n">
        <v>100</v>
      </c>
      <c r="F153" s="6" t="s">
        <v>10</v>
      </c>
      <c r="G153" s="6" t="s">
        <v>270</v>
      </c>
    </row>
    <row r="154" customFormat="false" ht="15" hidden="false" customHeight="false" outlineLevel="0" collapsed="false">
      <c r="A154" s="0" t="s">
        <v>338</v>
      </c>
      <c r="B154" s="0" t="s">
        <v>26</v>
      </c>
      <c r="C154" s="14" t="n">
        <v>60</v>
      </c>
      <c r="D154" s="14" t="n">
        <v>40</v>
      </c>
      <c r="E154" s="14" t="n">
        <v>30</v>
      </c>
      <c r="F154" s="6" t="s">
        <v>11</v>
      </c>
      <c r="G154" s="6" t="s">
        <v>272</v>
      </c>
    </row>
    <row r="155" customFormat="false" ht="15" hidden="false" customHeight="false" outlineLevel="0" collapsed="false">
      <c r="A155" s="0" t="s">
        <v>339</v>
      </c>
      <c r="B155" s="0" t="s">
        <v>26</v>
      </c>
      <c r="C155" s="14" t="n">
        <v>500</v>
      </c>
      <c r="D155" s="14" t="n">
        <v>500</v>
      </c>
      <c r="E155" s="14" t="n">
        <v>500</v>
      </c>
      <c r="F155" s="6" t="s">
        <v>11</v>
      </c>
    </row>
    <row r="156" customFormat="false" ht="15" hidden="false" customHeight="false" outlineLevel="0" collapsed="false">
      <c r="A156" s="4" t="s">
        <v>340</v>
      </c>
      <c r="B156" s="5"/>
      <c r="C156" s="5"/>
      <c r="D156" s="5"/>
      <c r="E156" s="5"/>
      <c r="F156" s="5"/>
      <c r="G156" s="5"/>
    </row>
    <row r="157" customFormat="false" ht="15" hidden="false" customHeight="false" outlineLevel="0" collapsed="false">
      <c r="A157" s="0" t="s">
        <v>341</v>
      </c>
      <c r="B157" s="0" t="s">
        <v>63</v>
      </c>
      <c r="C157" s="14" t="n">
        <v>100</v>
      </c>
      <c r="D157" s="14" t="n">
        <v>100</v>
      </c>
      <c r="E157" s="14" t="n">
        <v>100</v>
      </c>
      <c r="F157" s="6" t="s">
        <v>12</v>
      </c>
      <c r="G157" s="6" t="s">
        <v>238</v>
      </c>
    </row>
    <row r="158" customFormat="false" ht="15" hidden="false" customHeight="false" outlineLevel="0" collapsed="false">
      <c r="A158" s="0" t="s">
        <v>342</v>
      </c>
      <c r="B158" s="0" t="s">
        <v>35</v>
      </c>
      <c r="C158" s="13" t="n">
        <v>0</v>
      </c>
      <c r="D158" s="13" t="n">
        <v>0</v>
      </c>
      <c r="E158" s="13" t="n">
        <v>0</v>
      </c>
      <c r="F158" s="6" t="s">
        <v>11</v>
      </c>
      <c r="G158" s="6" t="s">
        <v>343</v>
      </c>
    </row>
    <row r="159" customFormat="false" ht="15" hidden="false" customHeight="false" outlineLevel="0" collapsed="false">
      <c r="A159" s="0" t="s">
        <v>344</v>
      </c>
      <c r="B159" s="0" t="s">
        <v>242</v>
      </c>
      <c r="C159" s="14" t="n">
        <v>0</v>
      </c>
      <c r="D159" s="14" t="n">
        <v>0</v>
      </c>
      <c r="E159" s="14" t="n">
        <v>0</v>
      </c>
      <c r="F159" s="6" t="s">
        <v>11</v>
      </c>
      <c r="G159" s="6" t="s">
        <v>345</v>
      </c>
    </row>
    <row r="160" customFormat="false" ht="15" hidden="false" customHeight="false" outlineLevel="0" collapsed="false">
      <c r="A160" s="0" t="s">
        <v>346</v>
      </c>
      <c r="B160" s="0" t="s">
        <v>35</v>
      </c>
      <c r="C160" s="13" t="n">
        <v>0</v>
      </c>
      <c r="D160" s="13" t="n">
        <v>0</v>
      </c>
      <c r="E160" s="13" t="n">
        <v>0</v>
      </c>
      <c r="F160" s="6" t="s">
        <v>11</v>
      </c>
      <c r="G160" s="6" t="s">
        <v>345</v>
      </c>
    </row>
    <row r="161" customFormat="false" ht="15" hidden="false" customHeight="false" outlineLevel="0" collapsed="false">
      <c r="A161" s="0" t="s">
        <v>347</v>
      </c>
      <c r="B161" s="0" t="s">
        <v>103</v>
      </c>
      <c r="C161" s="14" t="n">
        <v>0</v>
      </c>
      <c r="D161" s="14" t="n">
        <v>0</v>
      </c>
      <c r="E161" s="14" t="n">
        <v>0</v>
      </c>
      <c r="F161" s="6" t="s">
        <v>11</v>
      </c>
      <c r="G161" s="6" t="s">
        <v>345</v>
      </c>
    </row>
    <row r="162" customFormat="false" ht="15" hidden="false" customHeight="false" outlineLevel="0" collapsed="false">
      <c r="A162" s="0" t="s">
        <v>348</v>
      </c>
      <c r="B162" s="0" t="s">
        <v>248</v>
      </c>
      <c r="C162" s="14" t="n">
        <v>0</v>
      </c>
      <c r="D162" s="14" t="n">
        <v>0</v>
      </c>
      <c r="E162" s="14" t="n">
        <v>0</v>
      </c>
      <c r="F162" s="6" t="s">
        <v>11</v>
      </c>
      <c r="G162" s="6" t="s">
        <v>345</v>
      </c>
    </row>
    <row r="163" customFormat="false" ht="15" hidden="false" customHeight="false" outlineLevel="0" collapsed="false">
      <c r="A163" s="0" t="s">
        <v>349</v>
      </c>
      <c r="B163" s="0" t="s">
        <v>35</v>
      </c>
      <c r="C163" s="13" t="n">
        <v>0</v>
      </c>
      <c r="D163" s="13" t="n">
        <v>0</v>
      </c>
      <c r="E163" s="13" t="n">
        <v>0</v>
      </c>
      <c r="F163" s="6" t="s">
        <v>11</v>
      </c>
      <c r="G163" s="6" t="s">
        <v>345</v>
      </c>
    </row>
    <row r="164" customFormat="false" ht="15" hidden="false" customHeight="false" outlineLevel="0" collapsed="false">
      <c r="A164" s="0" t="s">
        <v>350</v>
      </c>
      <c r="B164" s="0" t="s">
        <v>35</v>
      </c>
      <c r="C164" s="13" t="n">
        <v>0</v>
      </c>
      <c r="D164" s="13" t="n">
        <v>0</v>
      </c>
      <c r="E164" s="13" t="n">
        <v>0</v>
      </c>
      <c r="F164" s="6" t="s">
        <v>11</v>
      </c>
      <c r="G164" s="6" t="s">
        <v>345</v>
      </c>
    </row>
    <row r="165" customFormat="false" ht="15" hidden="false" customHeight="false" outlineLevel="0" collapsed="false">
      <c r="A165" s="0" t="s">
        <v>351</v>
      </c>
      <c r="B165" s="0" t="s">
        <v>105</v>
      </c>
      <c r="C165" s="14" t="n">
        <v>0</v>
      </c>
      <c r="D165" s="14" t="n">
        <v>0</v>
      </c>
      <c r="E165" s="14" t="n">
        <v>0</v>
      </c>
      <c r="F165" s="6" t="s">
        <v>11</v>
      </c>
      <c r="G165" s="6" t="s">
        <v>345</v>
      </c>
    </row>
    <row r="166" customFormat="false" ht="15" hidden="false" customHeight="false" outlineLevel="0" collapsed="false">
      <c r="A166" s="0" t="s">
        <v>352</v>
      </c>
      <c r="B166" s="0" t="s">
        <v>35</v>
      </c>
      <c r="C166" s="13" t="n">
        <v>0</v>
      </c>
      <c r="D166" s="13" t="n">
        <v>0</v>
      </c>
      <c r="E166" s="13" t="n">
        <v>0</v>
      </c>
      <c r="F166" s="6" t="s">
        <v>11</v>
      </c>
      <c r="G166" s="6" t="s">
        <v>345</v>
      </c>
    </row>
    <row r="167" customFormat="false" ht="15" hidden="false" customHeight="false" outlineLevel="0" collapsed="false">
      <c r="A167" s="0" t="s">
        <v>353</v>
      </c>
      <c r="B167" s="0" t="s">
        <v>35</v>
      </c>
      <c r="C167" s="13" t="n">
        <v>0</v>
      </c>
      <c r="D167" s="13" t="n">
        <v>0</v>
      </c>
      <c r="E167" s="13" t="n">
        <v>0</v>
      </c>
      <c r="F167" s="6" t="s">
        <v>11</v>
      </c>
      <c r="G167" s="6" t="s">
        <v>345</v>
      </c>
    </row>
    <row r="168" customFormat="false" ht="15" hidden="false" customHeight="false" outlineLevel="0" collapsed="false">
      <c r="A168" s="0" t="s">
        <v>354</v>
      </c>
      <c r="B168" s="0" t="s">
        <v>179</v>
      </c>
      <c r="C168" s="14" t="n">
        <v>0</v>
      </c>
      <c r="D168" s="14" t="n">
        <v>0</v>
      </c>
      <c r="E168" s="14" t="n">
        <v>0</v>
      </c>
      <c r="F168" s="6" t="s">
        <v>11</v>
      </c>
      <c r="G168" s="6" t="s">
        <v>345</v>
      </c>
    </row>
    <row r="169" customFormat="false" ht="15" hidden="false" customHeight="false" outlineLevel="0" collapsed="false">
      <c r="A169" s="0" t="s">
        <v>355</v>
      </c>
      <c r="B169" s="0" t="s">
        <v>149</v>
      </c>
      <c r="C169" s="14" t="n">
        <v>0</v>
      </c>
      <c r="D169" s="14" t="n">
        <v>0</v>
      </c>
      <c r="E169" s="14" t="n">
        <v>0</v>
      </c>
      <c r="F169" s="6" t="s">
        <v>11</v>
      </c>
      <c r="G169" s="6" t="s">
        <v>345</v>
      </c>
    </row>
    <row r="170" customFormat="false" ht="15" hidden="false" customHeight="false" outlineLevel="0" collapsed="false">
      <c r="A170" s="0" t="s">
        <v>356</v>
      </c>
      <c r="B170" s="0" t="s">
        <v>198</v>
      </c>
      <c r="C170" s="12" t="n">
        <v>2</v>
      </c>
      <c r="D170" s="12" t="n">
        <v>2</v>
      </c>
      <c r="E170" s="12" t="n">
        <v>2</v>
      </c>
      <c r="F170" s="6" t="s">
        <v>11</v>
      </c>
    </row>
    <row r="171" customFormat="false" ht="15" hidden="false" customHeight="false" outlineLevel="0" collapsed="false">
      <c r="A171" s="0" t="s">
        <v>357</v>
      </c>
      <c r="B171" s="0" t="s">
        <v>35</v>
      </c>
      <c r="C171" s="13" t="n">
        <v>0.16</v>
      </c>
      <c r="D171" s="13" t="n">
        <v>0.12</v>
      </c>
      <c r="E171" s="13" t="n">
        <v>0.09</v>
      </c>
      <c r="F171" s="6" t="s">
        <v>11</v>
      </c>
    </row>
    <row r="172" customFormat="false" ht="15" hidden="false" customHeight="false" outlineLevel="0" collapsed="false">
      <c r="A172" s="0" t="s">
        <v>358</v>
      </c>
      <c r="B172" s="0" t="s">
        <v>179</v>
      </c>
      <c r="C172" s="16" t="n">
        <v>10</v>
      </c>
      <c r="D172" s="16" t="n">
        <v>9.5</v>
      </c>
      <c r="E172" s="16" t="n">
        <v>9</v>
      </c>
      <c r="F172" s="6" t="s">
        <v>11</v>
      </c>
    </row>
    <row r="173" customFormat="false" ht="15" hidden="false" customHeight="false" outlineLevel="0" collapsed="false">
      <c r="A173" s="0" t="s">
        <v>359</v>
      </c>
      <c r="B173" s="0" t="s">
        <v>35</v>
      </c>
      <c r="C173" s="13" t="n">
        <v>0.3</v>
      </c>
      <c r="D173" s="13" t="n">
        <v>0.4</v>
      </c>
      <c r="E173" s="13" t="n">
        <v>0.5</v>
      </c>
      <c r="F173" s="6" t="s">
        <v>11</v>
      </c>
    </row>
    <row r="174" customFormat="false" ht="15" hidden="false" customHeight="false" outlineLevel="0" collapsed="false">
      <c r="A174" s="0" t="s">
        <v>360</v>
      </c>
      <c r="B174" s="0" t="s">
        <v>105</v>
      </c>
      <c r="C174" s="14" t="n">
        <v>800</v>
      </c>
      <c r="D174" s="14" t="n">
        <v>1000</v>
      </c>
      <c r="E174" s="14" t="n">
        <v>1400</v>
      </c>
      <c r="F174" s="6" t="s">
        <v>10</v>
      </c>
      <c r="G174" s="6" t="s">
        <v>361</v>
      </c>
    </row>
    <row r="175" customFormat="false" ht="15" hidden="false" customHeight="false" outlineLevel="0" collapsed="false">
      <c r="A175" s="0" t="s">
        <v>362</v>
      </c>
      <c r="B175" s="0" t="s">
        <v>26</v>
      </c>
      <c r="C175" s="14" t="n">
        <v>240</v>
      </c>
      <c r="D175" s="14" t="n">
        <v>220</v>
      </c>
      <c r="E175" s="14" t="n">
        <v>205</v>
      </c>
      <c r="F175" s="6" t="s">
        <v>11</v>
      </c>
      <c r="G175" s="6" t="s">
        <v>363</v>
      </c>
    </row>
    <row r="176" customFormat="false" ht="15" hidden="false" customHeight="false" outlineLevel="0" collapsed="false">
      <c r="A176" s="0" t="s">
        <v>364</v>
      </c>
      <c r="B176" s="0" t="s">
        <v>26</v>
      </c>
      <c r="C176" s="14" t="n">
        <v>60</v>
      </c>
      <c r="D176" s="14" t="n">
        <v>40</v>
      </c>
      <c r="E176" s="14" t="n">
        <v>30</v>
      </c>
      <c r="F176" s="6" t="s">
        <v>11</v>
      </c>
    </row>
    <row r="177" customFormat="false" ht="15" hidden="false" customHeight="false" outlineLevel="0" collapsed="false">
      <c r="A177" s="0" t="s">
        <v>365</v>
      </c>
      <c r="B177" s="0" t="s">
        <v>26</v>
      </c>
      <c r="C177" s="14" t="n">
        <v>500</v>
      </c>
      <c r="D177" s="14" t="n">
        <v>500</v>
      </c>
      <c r="E177" s="14" t="n">
        <v>500</v>
      </c>
      <c r="F177" s="6" t="s">
        <v>11</v>
      </c>
    </row>
    <row r="178" customFormat="false" ht="15" hidden="false" customHeight="false" outlineLevel="0" collapsed="false">
      <c r="A178" s="4" t="s">
        <v>366</v>
      </c>
      <c r="B178" s="5"/>
      <c r="C178" s="5"/>
      <c r="D178" s="5"/>
      <c r="E178" s="5"/>
      <c r="F178" s="5"/>
      <c r="G178" s="5"/>
    </row>
    <row r="179" customFormat="false" ht="15" hidden="false" customHeight="false" outlineLevel="0" collapsed="false">
      <c r="A179" s="0" t="s">
        <v>367</v>
      </c>
      <c r="B179" s="0" t="s">
        <v>63</v>
      </c>
      <c r="C179" s="14" t="n">
        <v>50</v>
      </c>
      <c r="D179" s="14" t="n">
        <v>50</v>
      </c>
      <c r="E179" s="14" t="n">
        <v>50</v>
      </c>
      <c r="F179" s="6" t="s">
        <v>12</v>
      </c>
      <c r="G179" s="6" t="s">
        <v>238</v>
      </c>
    </row>
    <row r="180" customFormat="false" ht="15" hidden="false" customHeight="false" outlineLevel="0" collapsed="false">
      <c r="A180" s="0" t="s">
        <v>368</v>
      </c>
      <c r="B180" s="0" t="s">
        <v>35</v>
      </c>
      <c r="C180" s="13" t="n">
        <v>0</v>
      </c>
      <c r="D180" s="13" t="n">
        <v>0</v>
      </c>
      <c r="E180" s="13" t="n">
        <v>0</v>
      </c>
      <c r="F180" s="6" t="s">
        <v>11</v>
      </c>
      <c r="G180" s="6" t="s">
        <v>343</v>
      </c>
    </row>
    <row r="181" customFormat="false" ht="15" hidden="false" customHeight="false" outlineLevel="0" collapsed="false">
      <c r="A181" s="0" t="s">
        <v>369</v>
      </c>
      <c r="B181" s="0" t="s">
        <v>242</v>
      </c>
      <c r="C181" s="14" t="n">
        <v>0</v>
      </c>
      <c r="D181" s="14" t="n">
        <v>0</v>
      </c>
      <c r="E181" s="14" t="n">
        <v>0</v>
      </c>
      <c r="F181" s="6" t="s">
        <v>11</v>
      </c>
      <c r="G181" s="6" t="s">
        <v>345</v>
      </c>
    </row>
    <row r="182" customFormat="false" ht="15" hidden="false" customHeight="false" outlineLevel="0" collapsed="false">
      <c r="A182" s="0" t="s">
        <v>370</v>
      </c>
      <c r="B182" s="0" t="s">
        <v>35</v>
      </c>
      <c r="C182" s="13" t="n">
        <v>0</v>
      </c>
      <c r="D182" s="13" t="n">
        <v>0</v>
      </c>
      <c r="E182" s="13" t="n">
        <v>0</v>
      </c>
      <c r="F182" s="6" t="s">
        <v>11</v>
      </c>
      <c r="G182" s="6" t="s">
        <v>345</v>
      </c>
    </row>
    <row r="183" customFormat="false" ht="15" hidden="false" customHeight="false" outlineLevel="0" collapsed="false">
      <c r="A183" s="0" t="s">
        <v>371</v>
      </c>
      <c r="B183" s="0" t="s">
        <v>103</v>
      </c>
      <c r="C183" s="14" t="n">
        <v>0</v>
      </c>
      <c r="D183" s="14" t="n">
        <v>0</v>
      </c>
      <c r="E183" s="14" t="n">
        <v>0</v>
      </c>
      <c r="F183" s="6" t="s">
        <v>11</v>
      </c>
      <c r="G183" s="6" t="s">
        <v>345</v>
      </c>
    </row>
    <row r="184" customFormat="false" ht="15" hidden="false" customHeight="false" outlineLevel="0" collapsed="false">
      <c r="A184" s="0" t="s">
        <v>372</v>
      </c>
      <c r="B184" s="0" t="s">
        <v>248</v>
      </c>
      <c r="C184" s="14" t="n">
        <v>0</v>
      </c>
      <c r="D184" s="14" t="n">
        <v>0</v>
      </c>
      <c r="E184" s="14" t="n">
        <v>0</v>
      </c>
      <c r="F184" s="6" t="s">
        <v>11</v>
      </c>
      <c r="G184" s="6" t="s">
        <v>345</v>
      </c>
    </row>
    <row r="185" customFormat="false" ht="15" hidden="false" customHeight="false" outlineLevel="0" collapsed="false">
      <c r="A185" s="0" t="s">
        <v>373</v>
      </c>
      <c r="B185" s="0" t="s">
        <v>35</v>
      </c>
      <c r="C185" s="13" t="n">
        <v>0</v>
      </c>
      <c r="D185" s="13" t="n">
        <v>0</v>
      </c>
      <c r="E185" s="13" t="n">
        <v>0</v>
      </c>
      <c r="F185" s="6" t="s">
        <v>11</v>
      </c>
      <c r="G185" s="6" t="s">
        <v>345</v>
      </c>
    </row>
    <row r="186" customFormat="false" ht="15" hidden="false" customHeight="false" outlineLevel="0" collapsed="false">
      <c r="A186" s="0" t="s">
        <v>374</v>
      </c>
      <c r="B186" s="0" t="s">
        <v>35</v>
      </c>
      <c r="C186" s="13" t="n">
        <v>0</v>
      </c>
      <c r="D186" s="13" t="n">
        <v>0</v>
      </c>
      <c r="E186" s="13" t="n">
        <v>0</v>
      </c>
      <c r="F186" s="6" t="s">
        <v>11</v>
      </c>
      <c r="G186" s="6" t="s">
        <v>345</v>
      </c>
    </row>
    <row r="187" customFormat="false" ht="15" hidden="false" customHeight="false" outlineLevel="0" collapsed="false">
      <c r="A187" s="0" t="s">
        <v>375</v>
      </c>
      <c r="B187" s="0" t="s">
        <v>105</v>
      </c>
      <c r="C187" s="14" t="n">
        <v>0</v>
      </c>
      <c r="D187" s="14" t="n">
        <v>0</v>
      </c>
      <c r="E187" s="14" t="n">
        <v>0</v>
      </c>
      <c r="F187" s="6" t="s">
        <v>11</v>
      </c>
      <c r="G187" s="6" t="s">
        <v>345</v>
      </c>
    </row>
    <row r="188" customFormat="false" ht="15" hidden="false" customHeight="false" outlineLevel="0" collapsed="false">
      <c r="A188" s="0" t="s">
        <v>376</v>
      </c>
      <c r="B188" s="0" t="s">
        <v>35</v>
      </c>
      <c r="C188" s="13" t="n">
        <v>0</v>
      </c>
      <c r="D188" s="13" t="n">
        <v>0</v>
      </c>
      <c r="E188" s="13" t="n">
        <v>0</v>
      </c>
      <c r="F188" s="6" t="s">
        <v>11</v>
      </c>
      <c r="G188" s="6" t="s">
        <v>345</v>
      </c>
    </row>
    <row r="189" customFormat="false" ht="15" hidden="false" customHeight="false" outlineLevel="0" collapsed="false">
      <c r="A189" s="0" t="s">
        <v>377</v>
      </c>
      <c r="B189" s="0" t="s">
        <v>35</v>
      </c>
      <c r="C189" s="13" t="n">
        <v>0</v>
      </c>
      <c r="D189" s="13" t="n">
        <v>0</v>
      </c>
      <c r="E189" s="13" t="n">
        <v>0</v>
      </c>
      <c r="F189" s="6" t="s">
        <v>11</v>
      </c>
      <c r="G189" s="6" t="s">
        <v>345</v>
      </c>
    </row>
    <row r="190" customFormat="false" ht="15" hidden="false" customHeight="false" outlineLevel="0" collapsed="false">
      <c r="A190" s="0" t="s">
        <v>378</v>
      </c>
      <c r="B190" s="0" t="s">
        <v>179</v>
      </c>
      <c r="C190" s="14" t="n">
        <v>0</v>
      </c>
      <c r="D190" s="14" t="n">
        <v>0</v>
      </c>
      <c r="E190" s="14" t="n">
        <v>0</v>
      </c>
      <c r="F190" s="6" t="s">
        <v>11</v>
      </c>
      <c r="G190" s="6" t="s">
        <v>345</v>
      </c>
    </row>
    <row r="191" customFormat="false" ht="15" hidden="false" customHeight="false" outlineLevel="0" collapsed="false">
      <c r="A191" s="0" t="s">
        <v>379</v>
      </c>
      <c r="B191" s="0" t="s">
        <v>149</v>
      </c>
      <c r="C191" s="14" t="n">
        <v>0</v>
      </c>
      <c r="D191" s="14" t="n">
        <v>0</v>
      </c>
      <c r="E191" s="14" t="n">
        <v>0</v>
      </c>
      <c r="F191" s="6" t="s">
        <v>11</v>
      </c>
      <c r="G191" s="6" t="s">
        <v>345</v>
      </c>
    </row>
    <row r="192" customFormat="false" ht="15" hidden="false" customHeight="false" outlineLevel="0" collapsed="false">
      <c r="A192" s="0" t="s">
        <v>380</v>
      </c>
      <c r="B192" s="0" t="s">
        <v>198</v>
      </c>
      <c r="C192" s="12" t="n">
        <v>1</v>
      </c>
      <c r="D192" s="12" t="n">
        <v>1</v>
      </c>
      <c r="E192" s="12" t="n">
        <v>1</v>
      </c>
      <c r="F192" s="6" t="s">
        <v>11</v>
      </c>
    </row>
    <row r="193" customFormat="false" ht="15" hidden="false" customHeight="false" outlineLevel="0" collapsed="false">
      <c r="A193" s="0" t="s">
        <v>381</v>
      </c>
      <c r="B193" s="0" t="s">
        <v>35</v>
      </c>
      <c r="C193" s="13" t="n">
        <v>0.18</v>
      </c>
      <c r="D193" s="13" t="n">
        <v>0.12</v>
      </c>
      <c r="E193" s="13" t="n">
        <v>0.09</v>
      </c>
      <c r="F193" s="6" t="s">
        <v>11</v>
      </c>
    </row>
    <row r="194" customFormat="false" ht="15" hidden="false" customHeight="false" outlineLevel="0" collapsed="false">
      <c r="A194" s="0" t="s">
        <v>382</v>
      </c>
      <c r="B194" s="0" t="s">
        <v>179</v>
      </c>
      <c r="C194" s="16" t="n">
        <v>20</v>
      </c>
      <c r="D194" s="16" t="n">
        <v>18</v>
      </c>
      <c r="E194" s="16" t="n">
        <v>16</v>
      </c>
      <c r="F194" s="6" t="s">
        <v>11</v>
      </c>
    </row>
    <row r="195" customFormat="false" ht="15" hidden="false" customHeight="false" outlineLevel="0" collapsed="false">
      <c r="A195" s="0" t="s">
        <v>383</v>
      </c>
      <c r="B195" s="0" t="s">
        <v>35</v>
      </c>
      <c r="C195" s="13" t="n">
        <v>0.55</v>
      </c>
      <c r="D195" s="13" t="n">
        <v>0.65</v>
      </c>
      <c r="E195" s="13" t="n">
        <v>0.7</v>
      </c>
      <c r="F195" s="6" t="s">
        <v>11</v>
      </c>
    </row>
    <row r="196" customFormat="false" ht="15" hidden="false" customHeight="false" outlineLevel="0" collapsed="false">
      <c r="A196" s="0" t="s">
        <v>384</v>
      </c>
      <c r="B196" s="0" t="s">
        <v>105</v>
      </c>
      <c r="C196" s="14" t="n">
        <v>2000</v>
      </c>
      <c r="D196" s="14" t="n">
        <v>2800</v>
      </c>
      <c r="E196" s="14" t="n">
        <v>4000</v>
      </c>
      <c r="F196" s="6" t="s">
        <v>10</v>
      </c>
      <c r="G196" s="6" t="s">
        <v>385</v>
      </c>
    </row>
    <row r="197" customFormat="false" ht="15" hidden="false" customHeight="false" outlineLevel="0" collapsed="false">
      <c r="A197" s="0" t="s">
        <v>386</v>
      </c>
      <c r="B197" s="0" t="s">
        <v>26</v>
      </c>
      <c r="C197" s="14" t="n">
        <v>650</v>
      </c>
      <c r="D197" s="14" t="n">
        <v>600</v>
      </c>
      <c r="E197" s="14" t="n">
        <v>550</v>
      </c>
      <c r="F197" s="6" t="s">
        <v>11</v>
      </c>
      <c r="G197" s="6" t="s">
        <v>363</v>
      </c>
    </row>
    <row r="198" customFormat="false" ht="15" hidden="false" customHeight="false" outlineLevel="0" collapsed="false">
      <c r="A198" s="0" t="s">
        <v>387</v>
      </c>
      <c r="B198" s="0" t="s">
        <v>26</v>
      </c>
      <c r="C198" s="14" t="n">
        <v>80</v>
      </c>
      <c r="D198" s="14" t="n">
        <v>60</v>
      </c>
      <c r="E198" s="14" t="n">
        <v>40</v>
      </c>
      <c r="F198" s="6" t="s">
        <v>11</v>
      </c>
    </row>
    <row r="199" customFormat="false" ht="15" hidden="false" customHeight="false" outlineLevel="0" collapsed="false">
      <c r="A199" s="0" t="s">
        <v>388</v>
      </c>
      <c r="B199" s="0" t="s">
        <v>26</v>
      </c>
      <c r="C199" s="14" t="n">
        <v>1500</v>
      </c>
      <c r="D199" s="14" t="n">
        <v>1500</v>
      </c>
      <c r="E199" s="14" t="n">
        <v>1500</v>
      </c>
      <c r="F199" s="6" t="s">
        <v>11</v>
      </c>
    </row>
    <row r="200" customFormat="false" ht="15" hidden="false" customHeight="false" outlineLevel="0" collapsed="false">
      <c r="A200" s="4" t="s">
        <v>389</v>
      </c>
      <c r="B200" s="5"/>
      <c r="C200" s="5"/>
      <c r="D200" s="5"/>
      <c r="E200" s="5"/>
      <c r="F200" s="5"/>
      <c r="G200" s="5"/>
    </row>
    <row r="201" customFormat="false" ht="15" hidden="false" customHeight="false" outlineLevel="0" collapsed="false">
      <c r="A201" s="0" t="s">
        <v>390</v>
      </c>
      <c r="B201" s="0" t="s">
        <v>63</v>
      </c>
      <c r="C201" s="14" t="n">
        <v>20</v>
      </c>
      <c r="D201" s="14" t="n">
        <v>20</v>
      </c>
      <c r="E201" s="14" t="n">
        <v>20</v>
      </c>
      <c r="F201" s="6" t="s">
        <v>12</v>
      </c>
      <c r="G201" s="6" t="s">
        <v>238</v>
      </c>
    </row>
    <row r="202" customFormat="false" ht="15" hidden="false" customHeight="false" outlineLevel="0" collapsed="false">
      <c r="A202" s="0" t="s">
        <v>391</v>
      </c>
      <c r="B202" s="0" t="s">
        <v>35</v>
      </c>
      <c r="C202" s="13" t="n">
        <v>0</v>
      </c>
      <c r="D202" s="13" t="n">
        <v>0</v>
      </c>
      <c r="E202" s="13" t="n">
        <v>0</v>
      </c>
      <c r="F202" s="6" t="s">
        <v>11</v>
      </c>
      <c r="G202" s="6" t="s">
        <v>343</v>
      </c>
    </row>
    <row r="203" customFormat="false" ht="15" hidden="false" customHeight="false" outlineLevel="0" collapsed="false">
      <c r="A203" s="0" t="s">
        <v>392</v>
      </c>
      <c r="B203" s="0" t="s">
        <v>242</v>
      </c>
      <c r="C203" s="14" t="n">
        <v>0</v>
      </c>
      <c r="D203" s="14" t="n">
        <v>0</v>
      </c>
      <c r="E203" s="14" t="n">
        <v>0</v>
      </c>
      <c r="F203" s="6" t="s">
        <v>11</v>
      </c>
      <c r="G203" s="6" t="s">
        <v>345</v>
      </c>
    </row>
    <row r="204" customFormat="false" ht="15" hidden="false" customHeight="false" outlineLevel="0" collapsed="false">
      <c r="A204" s="0" t="s">
        <v>393</v>
      </c>
      <c r="B204" s="0" t="s">
        <v>35</v>
      </c>
      <c r="C204" s="13" t="n">
        <v>0</v>
      </c>
      <c r="D204" s="13" t="n">
        <v>0</v>
      </c>
      <c r="E204" s="13" t="n">
        <v>0</v>
      </c>
      <c r="F204" s="6" t="s">
        <v>11</v>
      </c>
      <c r="G204" s="6" t="s">
        <v>345</v>
      </c>
    </row>
    <row r="205" customFormat="false" ht="15" hidden="false" customHeight="false" outlineLevel="0" collapsed="false">
      <c r="A205" s="0" t="s">
        <v>394</v>
      </c>
      <c r="B205" s="0" t="s">
        <v>103</v>
      </c>
      <c r="C205" s="14" t="n">
        <v>0</v>
      </c>
      <c r="D205" s="14" t="n">
        <v>0</v>
      </c>
      <c r="E205" s="14" t="n">
        <v>0</v>
      </c>
      <c r="F205" s="6" t="s">
        <v>11</v>
      </c>
      <c r="G205" s="6" t="s">
        <v>345</v>
      </c>
    </row>
    <row r="206" customFormat="false" ht="15" hidden="false" customHeight="false" outlineLevel="0" collapsed="false">
      <c r="A206" s="0" t="s">
        <v>395</v>
      </c>
      <c r="B206" s="0" t="s">
        <v>248</v>
      </c>
      <c r="C206" s="14" t="n">
        <v>0</v>
      </c>
      <c r="D206" s="14" t="n">
        <v>0</v>
      </c>
      <c r="E206" s="14" t="n">
        <v>0</v>
      </c>
      <c r="F206" s="6" t="s">
        <v>11</v>
      </c>
      <c r="G206" s="6" t="s">
        <v>345</v>
      </c>
    </row>
    <row r="207" customFormat="false" ht="15" hidden="false" customHeight="false" outlineLevel="0" collapsed="false">
      <c r="A207" s="0" t="s">
        <v>396</v>
      </c>
      <c r="B207" s="0" t="s">
        <v>35</v>
      </c>
      <c r="C207" s="13" t="n">
        <v>0</v>
      </c>
      <c r="D207" s="13" t="n">
        <v>0</v>
      </c>
      <c r="E207" s="13" t="n">
        <v>0</v>
      </c>
      <c r="F207" s="6" t="s">
        <v>11</v>
      </c>
      <c r="G207" s="6" t="s">
        <v>345</v>
      </c>
    </row>
    <row r="208" customFormat="false" ht="15" hidden="false" customHeight="false" outlineLevel="0" collapsed="false">
      <c r="A208" s="0" t="s">
        <v>397</v>
      </c>
      <c r="B208" s="0" t="s">
        <v>35</v>
      </c>
      <c r="C208" s="13" t="n">
        <v>0</v>
      </c>
      <c r="D208" s="13" t="n">
        <v>0</v>
      </c>
      <c r="E208" s="13" t="n">
        <v>0</v>
      </c>
      <c r="F208" s="6" t="s">
        <v>11</v>
      </c>
      <c r="G208" s="6" t="s">
        <v>345</v>
      </c>
    </row>
    <row r="209" customFormat="false" ht="15" hidden="false" customHeight="false" outlineLevel="0" collapsed="false">
      <c r="A209" s="0" t="s">
        <v>398</v>
      </c>
      <c r="B209" s="0" t="s">
        <v>105</v>
      </c>
      <c r="C209" s="14" t="n">
        <v>0</v>
      </c>
      <c r="D209" s="14" t="n">
        <v>0</v>
      </c>
      <c r="E209" s="14" t="n">
        <v>0</v>
      </c>
      <c r="F209" s="6" t="s">
        <v>11</v>
      </c>
      <c r="G209" s="6" t="s">
        <v>345</v>
      </c>
    </row>
    <row r="210" customFormat="false" ht="15" hidden="false" customHeight="false" outlineLevel="0" collapsed="false">
      <c r="A210" s="0" t="s">
        <v>399</v>
      </c>
      <c r="B210" s="0" t="s">
        <v>35</v>
      </c>
      <c r="C210" s="13" t="n">
        <v>0</v>
      </c>
      <c r="D210" s="13" t="n">
        <v>0</v>
      </c>
      <c r="E210" s="13" t="n">
        <v>0</v>
      </c>
      <c r="F210" s="6" t="s">
        <v>11</v>
      </c>
      <c r="G210" s="6" t="s">
        <v>345</v>
      </c>
    </row>
    <row r="211" customFormat="false" ht="15" hidden="false" customHeight="false" outlineLevel="0" collapsed="false">
      <c r="A211" s="0" t="s">
        <v>400</v>
      </c>
      <c r="B211" s="0" t="s">
        <v>35</v>
      </c>
      <c r="C211" s="13" t="n">
        <v>0</v>
      </c>
      <c r="D211" s="13" t="n">
        <v>0</v>
      </c>
      <c r="E211" s="13" t="n">
        <v>0</v>
      </c>
      <c r="F211" s="6" t="s">
        <v>11</v>
      </c>
      <c r="G211" s="6" t="s">
        <v>345</v>
      </c>
    </row>
    <row r="212" customFormat="false" ht="15" hidden="false" customHeight="false" outlineLevel="0" collapsed="false">
      <c r="A212" s="0" t="s">
        <v>401</v>
      </c>
      <c r="B212" s="0" t="s">
        <v>179</v>
      </c>
      <c r="C212" s="14" t="n">
        <v>0</v>
      </c>
      <c r="D212" s="14" t="n">
        <v>0</v>
      </c>
      <c r="E212" s="14" t="n">
        <v>0</v>
      </c>
      <c r="F212" s="6" t="s">
        <v>11</v>
      </c>
      <c r="G212" s="6" t="s">
        <v>345</v>
      </c>
    </row>
    <row r="213" customFormat="false" ht="15" hidden="false" customHeight="false" outlineLevel="0" collapsed="false">
      <c r="A213" s="0" t="s">
        <v>402</v>
      </c>
      <c r="B213" s="0" t="s">
        <v>149</v>
      </c>
      <c r="C213" s="14" t="n">
        <v>0</v>
      </c>
      <c r="D213" s="14" t="n">
        <v>0</v>
      </c>
      <c r="E213" s="14" t="n">
        <v>0</v>
      </c>
      <c r="F213" s="6" t="s">
        <v>11</v>
      </c>
      <c r="G213" s="6" t="s">
        <v>345</v>
      </c>
    </row>
    <row r="214" customFormat="false" ht="15" hidden="false" customHeight="false" outlineLevel="0" collapsed="false">
      <c r="A214" s="0" t="s">
        <v>403</v>
      </c>
      <c r="B214" s="0" t="s">
        <v>198</v>
      </c>
      <c r="C214" s="12" t="n">
        <v>1.5</v>
      </c>
      <c r="D214" s="12" t="n">
        <v>1.5</v>
      </c>
      <c r="E214" s="12" t="n">
        <v>1.5</v>
      </c>
      <c r="F214" s="6" t="s">
        <v>11</v>
      </c>
    </row>
    <row r="215" customFormat="false" ht="15" hidden="false" customHeight="false" outlineLevel="0" collapsed="false">
      <c r="A215" s="0" t="s">
        <v>404</v>
      </c>
      <c r="B215" s="0" t="s">
        <v>35</v>
      </c>
      <c r="C215" s="13" t="n">
        <v>0.2</v>
      </c>
      <c r="D215" s="13" t="n">
        <v>0.15</v>
      </c>
      <c r="E215" s="13" t="n">
        <v>0.1</v>
      </c>
      <c r="F215" s="6" t="s">
        <v>11</v>
      </c>
    </row>
    <row r="216" customFormat="false" ht="15" hidden="false" customHeight="false" outlineLevel="0" collapsed="false">
      <c r="A216" s="0" t="s">
        <v>405</v>
      </c>
      <c r="B216" s="0" t="s">
        <v>179</v>
      </c>
      <c r="C216" s="16" t="n">
        <v>32</v>
      </c>
      <c r="D216" s="16" t="n">
        <v>30</v>
      </c>
      <c r="E216" s="16" t="n">
        <v>28</v>
      </c>
      <c r="F216" s="6" t="s">
        <v>11</v>
      </c>
    </row>
    <row r="217" customFormat="false" ht="15" hidden="false" customHeight="false" outlineLevel="0" collapsed="false">
      <c r="A217" s="0" t="s">
        <v>406</v>
      </c>
      <c r="B217" s="0" t="s">
        <v>35</v>
      </c>
      <c r="C217" s="13" t="n">
        <v>0.25</v>
      </c>
      <c r="D217" s="13" t="n">
        <v>0.3</v>
      </c>
      <c r="E217" s="13" t="n">
        <v>0.4</v>
      </c>
      <c r="F217" s="6" t="s">
        <v>11</v>
      </c>
    </row>
    <row r="218" customFormat="false" ht="15" hidden="false" customHeight="false" outlineLevel="0" collapsed="false">
      <c r="A218" s="0" t="s">
        <v>407</v>
      </c>
      <c r="B218" s="0" t="s">
        <v>105</v>
      </c>
      <c r="C218" s="14" t="n">
        <v>2800</v>
      </c>
      <c r="D218" s="14" t="n">
        <v>3500</v>
      </c>
      <c r="E218" s="14" t="n">
        <v>4200</v>
      </c>
      <c r="F218" s="6" t="s">
        <v>10</v>
      </c>
      <c r="G218" s="6" t="s">
        <v>408</v>
      </c>
    </row>
    <row r="219" customFormat="false" ht="15" hidden="false" customHeight="false" outlineLevel="0" collapsed="false">
      <c r="A219" s="0" t="s">
        <v>409</v>
      </c>
      <c r="B219" s="0" t="s">
        <v>26</v>
      </c>
      <c r="C219" s="14" t="n">
        <v>350</v>
      </c>
      <c r="D219" s="14" t="n">
        <v>300</v>
      </c>
      <c r="E219" s="14" t="n">
        <v>250</v>
      </c>
      <c r="F219" s="6" t="s">
        <v>11</v>
      </c>
      <c r="G219" s="6" t="s">
        <v>363</v>
      </c>
    </row>
    <row r="220" customFormat="false" ht="15" hidden="false" customHeight="false" outlineLevel="0" collapsed="false">
      <c r="A220" s="0" t="s">
        <v>410</v>
      </c>
      <c r="B220" s="0" t="s">
        <v>26</v>
      </c>
      <c r="C220" s="14" t="n">
        <v>100</v>
      </c>
      <c r="D220" s="14" t="n">
        <v>80</v>
      </c>
      <c r="E220" s="14" t="n">
        <v>60</v>
      </c>
      <c r="F220" s="6" t="s">
        <v>11</v>
      </c>
    </row>
    <row r="221" customFormat="false" ht="15" hidden="false" customHeight="false" outlineLevel="0" collapsed="false">
      <c r="A221" s="0" t="s">
        <v>411</v>
      </c>
      <c r="B221" s="0" t="s">
        <v>26</v>
      </c>
      <c r="C221" s="14" t="n">
        <v>3000</v>
      </c>
      <c r="D221" s="14" t="n">
        <v>3000</v>
      </c>
      <c r="E221" s="14" t="n">
        <v>3000</v>
      </c>
      <c r="F221" s="6" t="s">
        <v>11</v>
      </c>
    </row>
    <row r="222" customFormat="false" ht="15" hidden="false" customHeight="false" outlineLevel="0" collapsed="false">
      <c r="A222" s="4" t="s">
        <v>412</v>
      </c>
      <c r="B222" s="5"/>
      <c r="C222" s="5"/>
      <c r="D222" s="5"/>
      <c r="E222" s="5"/>
      <c r="F222" s="5"/>
      <c r="G222" s="5"/>
    </row>
    <row r="223" customFormat="false" ht="15" hidden="false" customHeight="false" outlineLevel="0" collapsed="false">
      <c r="A223" s="0" t="s">
        <v>413</v>
      </c>
      <c r="B223" s="0" t="s">
        <v>63</v>
      </c>
      <c r="C223" s="14" t="n">
        <v>100</v>
      </c>
      <c r="D223" s="14" t="n">
        <v>100</v>
      </c>
      <c r="E223" s="14" t="n">
        <v>100</v>
      </c>
      <c r="F223" s="6" t="s">
        <v>12</v>
      </c>
      <c r="G223" s="6" t="s">
        <v>238</v>
      </c>
    </row>
    <row r="224" customFormat="false" ht="15" hidden="false" customHeight="false" outlineLevel="0" collapsed="false">
      <c r="A224" s="0" t="s">
        <v>414</v>
      </c>
      <c r="B224" s="0" t="s">
        <v>35</v>
      </c>
      <c r="C224" s="13" t="n">
        <v>0</v>
      </c>
      <c r="D224" s="13" t="n">
        <v>0</v>
      </c>
      <c r="E224" s="13" t="n">
        <v>0</v>
      </c>
      <c r="F224" s="6" t="s">
        <v>11</v>
      </c>
      <c r="G224" s="6" t="s">
        <v>343</v>
      </c>
    </row>
    <row r="225" customFormat="false" ht="15" hidden="false" customHeight="false" outlineLevel="0" collapsed="false">
      <c r="A225" s="0" t="s">
        <v>415</v>
      </c>
      <c r="B225" s="0" t="s">
        <v>242</v>
      </c>
      <c r="C225" s="14" t="n">
        <v>0</v>
      </c>
      <c r="D225" s="14" t="n">
        <v>0</v>
      </c>
      <c r="E225" s="14" t="n">
        <v>0</v>
      </c>
      <c r="F225" s="6" t="s">
        <v>11</v>
      </c>
      <c r="G225" s="6" t="s">
        <v>345</v>
      </c>
    </row>
    <row r="226" customFormat="false" ht="15" hidden="false" customHeight="false" outlineLevel="0" collapsed="false">
      <c r="A226" s="0" t="s">
        <v>416</v>
      </c>
      <c r="B226" s="0" t="s">
        <v>35</v>
      </c>
      <c r="C226" s="13" t="n">
        <v>0</v>
      </c>
      <c r="D226" s="13" t="n">
        <v>0</v>
      </c>
      <c r="E226" s="13" t="n">
        <v>0</v>
      </c>
      <c r="F226" s="6" t="s">
        <v>11</v>
      </c>
      <c r="G226" s="6" t="s">
        <v>345</v>
      </c>
    </row>
    <row r="227" customFormat="false" ht="15" hidden="false" customHeight="false" outlineLevel="0" collapsed="false">
      <c r="A227" s="0" t="s">
        <v>417</v>
      </c>
      <c r="B227" s="0" t="s">
        <v>103</v>
      </c>
      <c r="C227" s="14" t="n">
        <v>0</v>
      </c>
      <c r="D227" s="14" t="n">
        <v>0</v>
      </c>
      <c r="E227" s="14" t="n">
        <v>0</v>
      </c>
      <c r="F227" s="6" t="s">
        <v>11</v>
      </c>
      <c r="G227" s="6" t="s">
        <v>345</v>
      </c>
    </row>
    <row r="228" customFormat="false" ht="15" hidden="false" customHeight="false" outlineLevel="0" collapsed="false">
      <c r="A228" s="0" t="s">
        <v>418</v>
      </c>
      <c r="B228" s="0" t="s">
        <v>248</v>
      </c>
      <c r="C228" s="14" t="n">
        <v>0</v>
      </c>
      <c r="D228" s="14" t="n">
        <v>0</v>
      </c>
      <c r="E228" s="14" t="n">
        <v>0</v>
      </c>
      <c r="F228" s="6" t="s">
        <v>11</v>
      </c>
      <c r="G228" s="6" t="s">
        <v>345</v>
      </c>
    </row>
    <row r="229" customFormat="false" ht="15" hidden="false" customHeight="false" outlineLevel="0" collapsed="false">
      <c r="A229" s="0" t="s">
        <v>419</v>
      </c>
      <c r="B229" s="0" t="s">
        <v>35</v>
      </c>
      <c r="C229" s="13" t="n">
        <v>0</v>
      </c>
      <c r="D229" s="13" t="n">
        <v>0</v>
      </c>
      <c r="E229" s="13" t="n">
        <v>0</v>
      </c>
      <c r="F229" s="6" t="s">
        <v>11</v>
      </c>
      <c r="G229" s="6" t="s">
        <v>345</v>
      </c>
    </row>
    <row r="230" customFormat="false" ht="15" hidden="false" customHeight="false" outlineLevel="0" collapsed="false">
      <c r="A230" s="0" t="s">
        <v>420</v>
      </c>
      <c r="B230" s="0" t="s">
        <v>35</v>
      </c>
      <c r="C230" s="13" t="n">
        <v>0</v>
      </c>
      <c r="D230" s="13" t="n">
        <v>0</v>
      </c>
      <c r="E230" s="13" t="n">
        <v>0</v>
      </c>
      <c r="F230" s="6" t="s">
        <v>11</v>
      </c>
      <c r="G230" s="6" t="s">
        <v>345</v>
      </c>
    </row>
    <row r="231" customFormat="false" ht="15" hidden="false" customHeight="false" outlineLevel="0" collapsed="false">
      <c r="A231" s="0" t="s">
        <v>421</v>
      </c>
      <c r="B231" s="0" t="s">
        <v>105</v>
      </c>
      <c r="C231" s="14" t="n">
        <v>0</v>
      </c>
      <c r="D231" s="14" t="n">
        <v>0</v>
      </c>
      <c r="E231" s="14" t="n">
        <v>0</v>
      </c>
      <c r="F231" s="6" t="s">
        <v>11</v>
      </c>
      <c r="G231" s="6" t="s">
        <v>345</v>
      </c>
    </row>
    <row r="232" customFormat="false" ht="15" hidden="false" customHeight="false" outlineLevel="0" collapsed="false">
      <c r="A232" s="0" t="s">
        <v>422</v>
      </c>
      <c r="B232" s="0" t="s">
        <v>35</v>
      </c>
      <c r="C232" s="13" t="n">
        <v>0</v>
      </c>
      <c r="D232" s="13" t="n">
        <v>0</v>
      </c>
      <c r="E232" s="13" t="n">
        <v>0</v>
      </c>
      <c r="F232" s="6" t="s">
        <v>11</v>
      </c>
      <c r="G232" s="6" t="s">
        <v>345</v>
      </c>
    </row>
    <row r="233" customFormat="false" ht="15" hidden="false" customHeight="false" outlineLevel="0" collapsed="false">
      <c r="A233" s="0" t="s">
        <v>423</v>
      </c>
      <c r="B233" s="0" t="s">
        <v>35</v>
      </c>
      <c r="C233" s="13" t="n">
        <v>0</v>
      </c>
      <c r="D233" s="13" t="n">
        <v>0</v>
      </c>
      <c r="E233" s="13" t="n">
        <v>0</v>
      </c>
      <c r="F233" s="6" t="s">
        <v>11</v>
      </c>
      <c r="G233" s="6" t="s">
        <v>345</v>
      </c>
    </row>
    <row r="234" customFormat="false" ht="15" hidden="false" customHeight="false" outlineLevel="0" collapsed="false">
      <c r="A234" s="0" t="s">
        <v>424</v>
      </c>
      <c r="B234" s="0" t="s">
        <v>179</v>
      </c>
      <c r="C234" s="14" t="n">
        <v>0</v>
      </c>
      <c r="D234" s="14" t="n">
        <v>0</v>
      </c>
      <c r="E234" s="14" t="n">
        <v>0</v>
      </c>
      <c r="F234" s="6" t="s">
        <v>11</v>
      </c>
      <c r="G234" s="6" t="s">
        <v>345</v>
      </c>
    </row>
    <row r="235" customFormat="false" ht="15" hidden="false" customHeight="false" outlineLevel="0" collapsed="false">
      <c r="A235" s="0" t="s">
        <v>425</v>
      </c>
      <c r="B235" s="0" t="s">
        <v>149</v>
      </c>
      <c r="C235" s="14" t="n">
        <v>0</v>
      </c>
      <c r="D235" s="14" t="n">
        <v>0</v>
      </c>
      <c r="E235" s="14" t="n">
        <v>0</v>
      </c>
      <c r="F235" s="6" t="s">
        <v>11</v>
      </c>
      <c r="G235" s="6" t="s">
        <v>345</v>
      </c>
    </row>
    <row r="236" customFormat="false" ht="15" hidden="false" customHeight="false" outlineLevel="0" collapsed="false">
      <c r="A236" s="0" t="s">
        <v>426</v>
      </c>
      <c r="B236" s="0" t="s">
        <v>198</v>
      </c>
      <c r="C236" s="12" t="n">
        <v>1.5</v>
      </c>
      <c r="D236" s="12" t="n">
        <v>1.5</v>
      </c>
      <c r="E236" s="12" t="n">
        <v>1.5</v>
      </c>
      <c r="F236" s="6" t="s">
        <v>11</v>
      </c>
    </row>
    <row r="237" customFormat="false" ht="15" hidden="false" customHeight="false" outlineLevel="0" collapsed="false">
      <c r="A237" s="0" t="s">
        <v>427</v>
      </c>
      <c r="B237" s="0" t="s">
        <v>35</v>
      </c>
      <c r="C237" s="13" t="n">
        <v>0.26</v>
      </c>
      <c r="D237" s="13" t="n">
        <v>0.2</v>
      </c>
      <c r="E237" s="13" t="n">
        <v>0.15</v>
      </c>
      <c r="F237" s="6" t="s">
        <v>11</v>
      </c>
    </row>
    <row r="238" customFormat="false" ht="15" hidden="false" customHeight="false" outlineLevel="0" collapsed="false">
      <c r="A238" s="0" t="s">
        <v>428</v>
      </c>
      <c r="B238" s="0" t="s">
        <v>179</v>
      </c>
      <c r="C238" s="16" t="n">
        <v>6.5</v>
      </c>
      <c r="D238" s="16" t="n">
        <v>6</v>
      </c>
      <c r="E238" s="16" t="n">
        <v>5.5</v>
      </c>
      <c r="F238" s="6" t="s">
        <v>11</v>
      </c>
    </row>
    <row r="239" customFormat="false" ht="15" hidden="false" customHeight="false" outlineLevel="0" collapsed="false">
      <c r="A239" s="0" t="s">
        <v>429</v>
      </c>
      <c r="B239" s="0" t="s">
        <v>35</v>
      </c>
      <c r="C239" s="13" t="n">
        <v>0.35</v>
      </c>
      <c r="D239" s="13" t="n">
        <v>0.4</v>
      </c>
      <c r="E239" s="13" t="n">
        <v>0.5</v>
      </c>
      <c r="F239" s="6" t="s">
        <v>11</v>
      </c>
    </row>
    <row r="240" customFormat="false" ht="15" hidden="false" customHeight="false" outlineLevel="0" collapsed="false">
      <c r="A240" s="0" t="s">
        <v>430</v>
      </c>
      <c r="B240" s="0" t="s">
        <v>105</v>
      </c>
      <c r="C240" s="14" t="n">
        <v>800</v>
      </c>
      <c r="D240" s="14" t="n">
        <v>1200</v>
      </c>
      <c r="E240" s="14" t="n">
        <v>2000</v>
      </c>
      <c r="F240" s="6" t="s">
        <v>11</v>
      </c>
      <c r="G240" s="6" t="s">
        <v>431</v>
      </c>
    </row>
    <row r="241" customFormat="false" ht="15" hidden="false" customHeight="false" outlineLevel="0" collapsed="false">
      <c r="A241" s="0" t="s">
        <v>432</v>
      </c>
      <c r="B241" s="0" t="s">
        <v>26</v>
      </c>
      <c r="C241" s="14" t="n">
        <v>280</v>
      </c>
      <c r="D241" s="14" t="n">
        <v>250</v>
      </c>
      <c r="E241" s="14" t="n">
        <v>230</v>
      </c>
      <c r="F241" s="6" t="s">
        <v>11</v>
      </c>
      <c r="G241" s="6" t="s">
        <v>363</v>
      </c>
    </row>
    <row r="242" customFormat="false" ht="15" hidden="false" customHeight="false" outlineLevel="0" collapsed="false">
      <c r="A242" s="0" t="s">
        <v>433</v>
      </c>
      <c r="B242" s="0" t="s">
        <v>26</v>
      </c>
      <c r="C242" s="14" t="n">
        <v>60</v>
      </c>
      <c r="D242" s="14" t="n">
        <v>40</v>
      </c>
      <c r="E242" s="14" t="n">
        <v>30</v>
      </c>
      <c r="F242" s="6" t="s">
        <v>11</v>
      </c>
    </row>
    <row r="243" customFormat="false" ht="15" hidden="false" customHeight="false" outlineLevel="0" collapsed="false">
      <c r="A243" s="0" t="s">
        <v>434</v>
      </c>
      <c r="B243" s="0" t="s">
        <v>26</v>
      </c>
      <c r="C243" s="14" t="n">
        <v>450</v>
      </c>
      <c r="D243" s="14" t="n">
        <v>450</v>
      </c>
      <c r="E243" s="14" t="n">
        <v>450</v>
      </c>
      <c r="F243" s="6" t="s">
        <v>11</v>
      </c>
    </row>
    <row r="244" customFormat="false" ht="15" hidden="false" customHeight="false" outlineLevel="0" collapsed="false">
      <c r="A244" s="4" t="s">
        <v>435</v>
      </c>
      <c r="B244" s="5"/>
      <c r="C244" s="5"/>
      <c r="D244" s="5"/>
      <c r="E244" s="5"/>
      <c r="F244" s="5"/>
      <c r="G244" s="5"/>
    </row>
    <row r="245" customFormat="false" ht="15" hidden="false" customHeight="false" outlineLevel="0" collapsed="false">
      <c r="A245" s="0" t="s">
        <v>436</v>
      </c>
      <c r="B245" s="0" t="s">
        <v>437</v>
      </c>
      <c r="C245" s="17" t="n">
        <v>7997.33</v>
      </c>
      <c r="D245" s="17" t="n">
        <v>7997.33</v>
      </c>
      <c r="E245" s="17" t="n">
        <v>7997.33</v>
      </c>
      <c r="F245" s="6" t="s">
        <v>9</v>
      </c>
      <c r="G245" s="6" t="s">
        <v>438</v>
      </c>
    </row>
    <row r="246" customFormat="false" ht="15" hidden="false" customHeight="false" outlineLevel="0" collapsed="false">
      <c r="A246" s="0" t="s">
        <v>439</v>
      </c>
      <c r="B246" s="0" t="s">
        <v>437</v>
      </c>
      <c r="C246" s="17" t="n">
        <v>9235.78</v>
      </c>
      <c r="D246" s="17" t="n">
        <v>9235.78</v>
      </c>
      <c r="E246" s="17" t="n">
        <v>9235.78</v>
      </c>
      <c r="F246" s="6" t="s">
        <v>9</v>
      </c>
      <c r="G246" s="6" t="s">
        <v>440</v>
      </c>
    </row>
    <row r="247" customFormat="false" ht="15" hidden="false" customHeight="false" outlineLevel="0" collapsed="false">
      <c r="A247" s="0" t="s">
        <v>441</v>
      </c>
      <c r="B247" s="0" t="s">
        <v>437</v>
      </c>
      <c r="C247" s="17" t="n">
        <v>14427.13</v>
      </c>
      <c r="D247" s="17" t="n">
        <v>14427.13</v>
      </c>
      <c r="E247" s="17" t="n">
        <v>14427.13</v>
      </c>
      <c r="F247" s="6" t="s">
        <v>9</v>
      </c>
      <c r="G247" s="6" t="s">
        <v>440</v>
      </c>
    </row>
    <row r="248" customFormat="false" ht="15" hidden="false" customHeight="false" outlineLevel="0" collapsed="false">
      <c r="A248" s="0" t="s">
        <v>442</v>
      </c>
      <c r="B248" s="0" t="s">
        <v>437</v>
      </c>
      <c r="C248" s="14" t="n">
        <v>22000</v>
      </c>
      <c r="D248" s="14" t="n">
        <v>22000</v>
      </c>
      <c r="E248" s="14" t="n">
        <v>22000</v>
      </c>
      <c r="F248" s="6" t="s">
        <v>12</v>
      </c>
      <c r="G248" s="6" t="s">
        <v>443</v>
      </c>
    </row>
    <row r="249" customFormat="false" ht="15" hidden="false" customHeight="false" outlineLevel="0" collapsed="false">
      <c r="A249" s="0" t="s">
        <v>444</v>
      </c>
      <c r="B249" s="0" t="s">
        <v>437</v>
      </c>
      <c r="C249" s="14" t="n">
        <v>22000</v>
      </c>
      <c r="D249" s="14" t="n">
        <v>22000</v>
      </c>
      <c r="E249" s="14" t="n">
        <v>22000</v>
      </c>
      <c r="F249" s="6" t="s">
        <v>12</v>
      </c>
      <c r="G249" s="6" t="s">
        <v>445</v>
      </c>
    </row>
    <row r="250" customFormat="false" ht="15" hidden="false" customHeight="false" outlineLevel="0" collapsed="false">
      <c r="A250" s="0" t="s">
        <v>446</v>
      </c>
      <c r="B250" s="0" t="s">
        <v>437</v>
      </c>
      <c r="C250" s="14" t="n">
        <v>22000</v>
      </c>
      <c r="D250" s="14" t="n">
        <v>22000</v>
      </c>
      <c r="E250" s="14" t="n">
        <v>22000</v>
      </c>
      <c r="F250" s="6" t="s">
        <v>12</v>
      </c>
    </row>
    <row r="251" customFormat="false" ht="15" hidden="false" customHeight="false" outlineLevel="0" collapsed="false">
      <c r="A251" s="0" t="s">
        <v>447</v>
      </c>
      <c r="B251" s="0" t="s">
        <v>448</v>
      </c>
      <c r="C251" s="13" t="n">
        <v>0.06</v>
      </c>
      <c r="D251" s="13" t="n">
        <v>0.06</v>
      </c>
      <c r="E251" s="13" t="n">
        <v>0.06</v>
      </c>
      <c r="F251" s="6" t="s">
        <v>9</v>
      </c>
      <c r="G251" s="6" t="s">
        <v>449</v>
      </c>
    </row>
    <row r="252" customFormat="false" ht="15" hidden="false" customHeight="false" outlineLevel="0" collapsed="false">
      <c r="A252" s="0" t="s">
        <v>450</v>
      </c>
      <c r="B252" s="0" t="s">
        <v>448</v>
      </c>
      <c r="C252" s="13" t="n">
        <v>0.015</v>
      </c>
      <c r="D252" s="13" t="n">
        <v>0.015</v>
      </c>
      <c r="E252" s="13" t="n">
        <v>0.015</v>
      </c>
      <c r="F252" s="6" t="s">
        <v>10</v>
      </c>
      <c r="G252" s="6" t="s">
        <v>451</v>
      </c>
    </row>
    <row r="253" customFormat="false" ht="15" hidden="false" customHeight="false" outlineLevel="0" collapsed="false">
      <c r="A253" s="0" t="s">
        <v>452</v>
      </c>
      <c r="B253" s="0" t="s">
        <v>453</v>
      </c>
      <c r="C253" s="14" t="n">
        <v>50</v>
      </c>
      <c r="D253" s="14" t="n">
        <v>50</v>
      </c>
      <c r="E253" s="14" t="n">
        <v>50</v>
      </c>
      <c r="F253" s="6" t="s">
        <v>11</v>
      </c>
      <c r="G253" s="6" t="s">
        <v>454</v>
      </c>
    </row>
    <row r="254" customFormat="false" ht="15" hidden="false" customHeight="false" outlineLevel="0" collapsed="false">
      <c r="A254" s="0" t="s">
        <v>455</v>
      </c>
      <c r="B254" s="0" t="s">
        <v>109</v>
      </c>
      <c r="C254" s="14" t="n">
        <v>35</v>
      </c>
      <c r="D254" s="14" t="n">
        <v>30</v>
      </c>
      <c r="E254" s="14" t="n">
        <v>25</v>
      </c>
      <c r="F254" s="6" t="s">
        <v>11</v>
      </c>
    </row>
    <row r="255" customFormat="false" ht="15" hidden="false" customHeight="false" outlineLevel="0" collapsed="false">
      <c r="A255" s="0" t="s">
        <v>456</v>
      </c>
      <c r="B255" s="0" t="s">
        <v>457</v>
      </c>
      <c r="C255" s="14" t="n">
        <v>500</v>
      </c>
      <c r="D255" s="14" t="n">
        <v>500</v>
      </c>
      <c r="E255" s="14" t="n">
        <v>500</v>
      </c>
      <c r="F255" s="6" t="s">
        <v>11</v>
      </c>
      <c r="G255" s="6" t="s">
        <v>458</v>
      </c>
    </row>
    <row r="256" customFormat="false" ht="15" hidden="false" customHeight="false" outlineLevel="0" collapsed="false">
      <c r="A256" s="0" t="s">
        <v>459</v>
      </c>
      <c r="B256" s="0" t="s">
        <v>111</v>
      </c>
      <c r="C256" s="14" t="n">
        <v>45</v>
      </c>
      <c r="D256" s="14" t="n">
        <v>45</v>
      </c>
      <c r="E256" s="14" t="n">
        <v>45</v>
      </c>
      <c r="F256" s="6" t="s">
        <v>9</v>
      </c>
      <c r="G256" s="6" t="s">
        <v>460</v>
      </c>
    </row>
    <row r="257" customFormat="false" ht="15" hidden="false" customHeight="false" outlineLevel="0" collapsed="false">
      <c r="A257" s="0" t="s">
        <v>461</v>
      </c>
      <c r="B257" s="0" t="s">
        <v>462</v>
      </c>
      <c r="C257" s="14" t="n">
        <v>48</v>
      </c>
      <c r="D257" s="14" t="n">
        <v>48</v>
      </c>
      <c r="E257" s="14" t="n">
        <v>48</v>
      </c>
      <c r="F257" s="6" t="s">
        <v>11</v>
      </c>
      <c r="G257" s="6" t="s">
        <v>463</v>
      </c>
    </row>
    <row r="258" customFormat="false" ht="15" hidden="false" customHeight="false" outlineLevel="0" collapsed="false">
      <c r="A258" s="0" t="s">
        <v>464</v>
      </c>
      <c r="B258" s="0" t="s">
        <v>465</v>
      </c>
      <c r="C258" s="12" t="n">
        <v>4</v>
      </c>
      <c r="D258" s="12" t="n">
        <v>3.5</v>
      </c>
      <c r="E258" s="12" t="n">
        <v>3.2</v>
      </c>
      <c r="F258" s="6" t="s">
        <v>11</v>
      </c>
      <c r="G258" s="6" t="s">
        <v>466</v>
      </c>
    </row>
    <row r="259" customFormat="false" ht="15" hidden="false" customHeight="false" outlineLevel="0" collapsed="false">
      <c r="A259" s="0" t="s">
        <v>467</v>
      </c>
      <c r="B259" s="0" t="s">
        <v>465</v>
      </c>
      <c r="C259" s="12" t="n">
        <v>1.8</v>
      </c>
      <c r="D259" s="12" t="n">
        <v>1.5</v>
      </c>
      <c r="E259" s="12" t="n">
        <v>1.3</v>
      </c>
      <c r="F259" s="6" t="s">
        <v>11</v>
      </c>
    </row>
    <row r="260" customFormat="false" ht="15" hidden="false" customHeight="false" outlineLevel="0" collapsed="false">
      <c r="A260" s="0" t="s">
        <v>468</v>
      </c>
      <c r="B260" s="0" t="s">
        <v>465</v>
      </c>
      <c r="C260" s="12" t="n">
        <v>0.6</v>
      </c>
      <c r="D260" s="12" t="n">
        <v>0.5</v>
      </c>
      <c r="E260" s="12" t="n">
        <v>0.45</v>
      </c>
      <c r="F260" s="6" t="s">
        <v>11</v>
      </c>
    </row>
    <row r="261" customFormat="false" ht="15" hidden="false" customHeight="false" outlineLevel="0" collapsed="false">
      <c r="A261" s="0" t="s">
        <v>469</v>
      </c>
      <c r="B261" s="0" t="s">
        <v>470</v>
      </c>
      <c r="C261" s="12" t="n">
        <v>0.5</v>
      </c>
      <c r="D261" s="12" t="n">
        <v>0.4</v>
      </c>
      <c r="E261" s="12" t="n">
        <v>0.33</v>
      </c>
      <c r="F261" s="6" t="s">
        <v>11</v>
      </c>
      <c r="G261" s="6" t="s">
        <v>471</v>
      </c>
    </row>
    <row r="262" customFormat="false" ht="15" hidden="false" customHeight="false" outlineLevel="0" collapsed="false">
      <c r="A262" s="0" t="s">
        <v>472</v>
      </c>
      <c r="B262" s="0" t="s">
        <v>465</v>
      </c>
      <c r="C262" s="12" t="n">
        <v>1.8</v>
      </c>
      <c r="D262" s="12" t="n">
        <v>1.5</v>
      </c>
      <c r="E262" s="12" t="n">
        <v>1.3</v>
      </c>
      <c r="F262" s="6" t="s">
        <v>11</v>
      </c>
    </row>
    <row r="263" customFormat="false" ht="15" hidden="false" customHeight="false" outlineLevel="0" collapsed="false">
      <c r="A263" s="0" t="s">
        <v>473</v>
      </c>
      <c r="B263" s="0" t="s">
        <v>474</v>
      </c>
      <c r="C263" s="14" t="n">
        <v>52</v>
      </c>
      <c r="D263" s="14" t="n">
        <v>52</v>
      </c>
      <c r="E263" s="14" t="n">
        <v>52</v>
      </c>
      <c r="F263" s="6" t="s">
        <v>12</v>
      </c>
      <c r="G263" s="6" t="s">
        <v>475</v>
      </c>
    </row>
    <row r="264" customFormat="false" ht="15" hidden="false" customHeight="false" outlineLevel="0" collapsed="false">
      <c r="A264" s="0" t="s">
        <v>476</v>
      </c>
      <c r="B264" s="0" t="s">
        <v>477</v>
      </c>
      <c r="C264" s="14" t="n">
        <v>4000</v>
      </c>
      <c r="D264" s="14" t="n">
        <v>3000</v>
      </c>
      <c r="E264" s="14" t="n">
        <v>2000</v>
      </c>
      <c r="F264" s="6" t="s">
        <v>11</v>
      </c>
      <c r="G264" s="6" t="s">
        <v>478</v>
      </c>
    </row>
    <row r="265" customFormat="false" ht="15" hidden="false" customHeight="false" outlineLevel="0" collapsed="false">
      <c r="A265" s="4" t="s">
        <v>479</v>
      </c>
      <c r="B265" s="5"/>
      <c r="C265" s="5"/>
      <c r="D265" s="5"/>
      <c r="E265" s="5"/>
      <c r="F265" s="5"/>
      <c r="G265" s="5"/>
    </row>
    <row r="266" customFormat="false" ht="15" hidden="false" customHeight="false" outlineLevel="0" collapsed="false">
      <c r="A266" s="0" t="s">
        <v>480</v>
      </c>
      <c r="B266" s="0" t="s">
        <v>149</v>
      </c>
      <c r="C266" s="14" t="n">
        <v>70000</v>
      </c>
      <c r="D266" s="14" t="n">
        <v>60000</v>
      </c>
      <c r="E266" s="14" t="n">
        <v>50000</v>
      </c>
      <c r="F266" s="6" t="s">
        <v>11</v>
      </c>
      <c r="G266" s="6" t="s">
        <v>481</v>
      </c>
    </row>
    <row r="267" customFormat="false" ht="15" hidden="false" customHeight="false" outlineLevel="0" collapsed="false">
      <c r="A267" s="0" t="s">
        <v>482</v>
      </c>
      <c r="B267" s="0" t="s">
        <v>149</v>
      </c>
      <c r="C267" s="14" t="n">
        <v>55000</v>
      </c>
      <c r="D267" s="14" t="n">
        <v>48000</v>
      </c>
      <c r="E267" s="14" t="n">
        <v>40000</v>
      </c>
      <c r="F267" s="6" t="s">
        <v>11</v>
      </c>
      <c r="G267" s="6" t="s">
        <v>483</v>
      </c>
    </row>
    <row r="268" customFormat="false" ht="15" hidden="false" customHeight="false" outlineLevel="0" collapsed="false">
      <c r="A268" s="0" t="s">
        <v>484</v>
      </c>
      <c r="B268" s="0" t="s">
        <v>149</v>
      </c>
      <c r="C268" s="14" t="n">
        <v>10000</v>
      </c>
      <c r="D268" s="14" t="n">
        <v>10000</v>
      </c>
      <c r="E268" s="14" t="n">
        <v>10000</v>
      </c>
      <c r="F268" s="6" t="s">
        <v>11</v>
      </c>
    </row>
    <row r="269" customFormat="false" ht="15" hidden="false" customHeight="false" outlineLevel="0" collapsed="false">
      <c r="A269" s="0" t="s">
        <v>485</v>
      </c>
      <c r="B269" s="0" t="s">
        <v>486</v>
      </c>
      <c r="C269" s="13" t="n">
        <v>0</v>
      </c>
      <c r="D269" s="13" t="n">
        <v>0</v>
      </c>
      <c r="E269" s="13" t="n">
        <v>0</v>
      </c>
      <c r="F269" s="6" t="s">
        <v>11</v>
      </c>
      <c r="G269" s="6" t="s">
        <v>487</v>
      </c>
    </row>
    <row r="270" customFormat="false" ht="15" hidden="false" customHeight="false" outlineLevel="0" collapsed="false">
      <c r="A270" s="0" t="s">
        <v>488</v>
      </c>
      <c r="B270" s="0" t="s">
        <v>234</v>
      </c>
      <c r="C270" s="14" t="n">
        <v>2</v>
      </c>
      <c r="D270" s="14" t="n">
        <v>2</v>
      </c>
      <c r="E270" s="14" t="n">
        <v>2</v>
      </c>
      <c r="F270" s="6" t="s">
        <v>11</v>
      </c>
    </row>
    <row r="271" customFormat="false" ht="15" hidden="false" customHeight="false" outlineLevel="0" collapsed="false">
      <c r="A271" s="0" t="s">
        <v>489</v>
      </c>
      <c r="B271" s="0" t="s">
        <v>26</v>
      </c>
      <c r="C271" s="14" t="n">
        <v>0</v>
      </c>
      <c r="D271" s="14" t="n">
        <v>0</v>
      </c>
      <c r="E271" s="14" t="n">
        <v>0</v>
      </c>
      <c r="F271" s="6" t="s">
        <v>11</v>
      </c>
      <c r="G271" s="6" t="s">
        <v>490</v>
      </c>
    </row>
    <row r="272" customFormat="false" ht="15" hidden="false" customHeight="false" outlineLevel="0" collapsed="false">
      <c r="A272" s="4" t="s">
        <v>491</v>
      </c>
      <c r="B272" s="5"/>
      <c r="C272" s="5"/>
      <c r="D272" s="5"/>
      <c r="E272" s="5"/>
      <c r="F272" s="5"/>
      <c r="G272" s="5"/>
    </row>
    <row r="273" customFormat="false" ht="15" hidden="false" customHeight="false" outlineLevel="0" collapsed="false">
      <c r="A273" s="0" t="s">
        <v>492</v>
      </c>
      <c r="B273" s="0" t="s">
        <v>26</v>
      </c>
      <c r="C273" s="14" t="n">
        <v>4500000</v>
      </c>
      <c r="D273" s="14" t="n">
        <v>4500000</v>
      </c>
      <c r="E273" s="14" t="n">
        <v>4500000</v>
      </c>
      <c r="F273" s="6" t="s">
        <v>11</v>
      </c>
      <c r="G273" s="6" t="s">
        <v>493</v>
      </c>
    </row>
    <row r="274" customFormat="false" ht="15" hidden="false" customHeight="false" outlineLevel="0" collapsed="false">
      <c r="A274" s="0" t="s">
        <v>494</v>
      </c>
      <c r="B274" s="0" t="s">
        <v>495</v>
      </c>
      <c r="C274" s="13" t="n">
        <v>0.25</v>
      </c>
      <c r="D274" s="13" t="n">
        <v>0.25</v>
      </c>
      <c r="E274" s="13" t="n">
        <v>0.25</v>
      </c>
      <c r="F274" s="6" t="s">
        <v>11</v>
      </c>
    </row>
    <row r="275" customFormat="false" ht="15" hidden="false" customHeight="false" outlineLevel="0" collapsed="false">
      <c r="A275" s="0" t="s">
        <v>496</v>
      </c>
      <c r="B275" s="0" t="s">
        <v>143</v>
      </c>
      <c r="C275" s="14" t="n">
        <v>8</v>
      </c>
      <c r="D275" s="14" t="n">
        <v>10</v>
      </c>
      <c r="E275" s="14" t="n">
        <v>12</v>
      </c>
      <c r="F275" s="6" t="s">
        <v>11</v>
      </c>
    </row>
    <row r="276" customFormat="false" ht="15" hidden="false" customHeight="false" outlineLevel="0" collapsed="false">
      <c r="A276" s="0" t="s">
        <v>497</v>
      </c>
      <c r="B276" s="0" t="s">
        <v>495</v>
      </c>
      <c r="C276" s="13" t="n">
        <v>0.05</v>
      </c>
      <c r="D276" s="13" t="n">
        <v>0.04</v>
      </c>
      <c r="E276" s="13" t="n">
        <v>0.03</v>
      </c>
      <c r="F276" s="6" t="s">
        <v>11</v>
      </c>
      <c r="G276" s="6" t="s">
        <v>498</v>
      </c>
    </row>
    <row r="277" customFormat="false" ht="15" hidden="false" customHeight="false" outlineLevel="0" collapsed="false">
      <c r="A277" s="0" t="s">
        <v>499</v>
      </c>
      <c r="B277" s="0" t="s">
        <v>149</v>
      </c>
      <c r="C277" s="14" t="n">
        <v>4600</v>
      </c>
      <c r="D277" s="14" t="n">
        <v>4600</v>
      </c>
      <c r="E277" s="14" t="n">
        <v>4600</v>
      </c>
      <c r="F277" s="6" t="s">
        <v>10</v>
      </c>
      <c r="G277" s="6" t="s">
        <v>500</v>
      </c>
    </row>
    <row r="278" customFormat="false" ht="15" hidden="false" customHeight="false" outlineLevel="0" collapsed="false">
      <c r="A278" s="0" t="s">
        <v>501</v>
      </c>
      <c r="B278" s="0" t="s">
        <v>149</v>
      </c>
      <c r="C278" s="14" t="n">
        <v>40000</v>
      </c>
      <c r="D278" s="14" t="n">
        <v>30000</v>
      </c>
      <c r="E278" s="14" t="n">
        <v>25000</v>
      </c>
      <c r="F278" s="6" t="s">
        <v>11</v>
      </c>
      <c r="G278" s="6" t="s">
        <v>502</v>
      </c>
    </row>
    <row r="279" customFormat="false" ht="15" hidden="false" customHeight="false" outlineLevel="0" collapsed="false">
      <c r="A279" s="0" t="s">
        <v>503</v>
      </c>
      <c r="B279" s="0" t="s">
        <v>495</v>
      </c>
      <c r="C279" s="13" t="n">
        <v>0.03</v>
      </c>
      <c r="D279" s="13" t="n">
        <v>0.02</v>
      </c>
      <c r="E279" s="13" t="n">
        <v>0.015</v>
      </c>
      <c r="F279" s="6" t="s">
        <v>11</v>
      </c>
    </row>
    <row r="280" customFormat="false" ht="15" hidden="false" customHeight="false" outlineLevel="0" collapsed="false">
      <c r="A280" s="0" t="s">
        <v>504</v>
      </c>
      <c r="B280" s="0" t="s">
        <v>505</v>
      </c>
      <c r="C280" s="14" t="n">
        <v>18</v>
      </c>
      <c r="D280" s="14" t="n">
        <v>14</v>
      </c>
      <c r="E280" s="14" t="n">
        <v>11</v>
      </c>
      <c r="F280" s="6" t="s">
        <v>11</v>
      </c>
      <c r="G280" s="6" t="s">
        <v>506</v>
      </c>
    </row>
    <row r="281" customFormat="false" ht="15" hidden="false" customHeight="false" outlineLevel="0" collapsed="false">
      <c r="A281" s="0" t="s">
        <v>507</v>
      </c>
      <c r="B281" s="0" t="s">
        <v>508</v>
      </c>
      <c r="C281" s="16" t="n">
        <v>4</v>
      </c>
      <c r="D281" s="16" t="n">
        <v>4.5</v>
      </c>
      <c r="E281" s="16" t="n">
        <v>5.5</v>
      </c>
      <c r="F281" s="6" t="s">
        <v>10</v>
      </c>
      <c r="G281" s="6" t="s">
        <v>509</v>
      </c>
    </row>
    <row r="282" customFormat="false" ht="15" hidden="false" customHeight="false" outlineLevel="0" collapsed="false">
      <c r="A282" s="0" t="s">
        <v>510</v>
      </c>
      <c r="B282" s="0" t="s">
        <v>175</v>
      </c>
      <c r="C282" s="16" t="n">
        <v>225</v>
      </c>
      <c r="D282" s="16" t="n">
        <v>222</v>
      </c>
      <c r="E282" s="16" t="n">
        <v>215</v>
      </c>
      <c r="F282" s="6" t="s">
        <v>10</v>
      </c>
      <c r="G282" s="6" t="s">
        <v>511</v>
      </c>
    </row>
    <row r="283" customFormat="false" ht="15" hidden="false" customHeight="false" outlineLevel="0" collapsed="false">
      <c r="A283" s="0" t="s">
        <v>512</v>
      </c>
      <c r="B283" s="0" t="s">
        <v>513</v>
      </c>
      <c r="C283" s="14" t="n">
        <v>6000</v>
      </c>
      <c r="D283" s="14" t="n">
        <v>4000</v>
      </c>
      <c r="E283" s="14" t="n">
        <v>3000</v>
      </c>
      <c r="F283" s="6" t="s">
        <v>11</v>
      </c>
      <c r="G283" s="6" t="s">
        <v>514</v>
      </c>
    </row>
    <row r="284" customFormat="false" ht="15" hidden="false" customHeight="false" outlineLevel="0" collapsed="false">
      <c r="A284" s="0" t="s">
        <v>515</v>
      </c>
      <c r="B284" s="0" t="s">
        <v>109</v>
      </c>
      <c r="C284" s="14" t="n">
        <v>70</v>
      </c>
      <c r="D284" s="14" t="n">
        <v>52</v>
      </c>
      <c r="E284" s="14" t="n">
        <v>40</v>
      </c>
      <c r="F284" s="6" t="s">
        <v>11</v>
      </c>
      <c r="G284" s="6" t="s">
        <v>516</v>
      </c>
    </row>
    <row r="285" customFormat="false" ht="15" hidden="false" customHeight="false" outlineLevel="0" collapsed="false">
      <c r="A285" s="0" t="s">
        <v>517</v>
      </c>
      <c r="B285" s="0" t="s">
        <v>457</v>
      </c>
      <c r="C285" s="14" t="n">
        <v>2000</v>
      </c>
      <c r="D285" s="14" t="n">
        <v>1500</v>
      </c>
      <c r="E285" s="14" t="n">
        <v>1200</v>
      </c>
      <c r="F285" s="6" t="s">
        <v>10</v>
      </c>
      <c r="G285" s="6" t="s">
        <v>518</v>
      </c>
    </row>
    <row r="286" customFormat="false" ht="15" hidden="false" customHeight="false" outlineLevel="0" collapsed="false">
      <c r="A286" s="0" t="s">
        <v>519</v>
      </c>
      <c r="B286" s="0" t="s">
        <v>35</v>
      </c>
      <c r="C286" s="13" t="n">
        <v>0.5</v>
      </c>
      <c r="D286" s="13" t="n">
        <v>0.5</v>
      </c>
      <c r="E286" s="13" t="n">
        <v>0.5</v>
      </c>
      <c r="F286" s="6" t="s">
        <v>11</v>
      </c>
    </row>
    <row r="287" customFormat="false" ht="15" hidden="false" customHeight="false" outlineLevel="0" collapsed="false">
      <c r="A287" s="0" t="s">
        <v>520</v>
      </c>
      <c r="B287" s="0" t="s">
        <v>109</v>
      </c>
      <c r="C287" s="14" t="n">
        <v>0</v>
      </c>
      <c r="D287" s="14" t="n">
        <v>0</v>
      </c>
      <c r="E287" s="14" t="n">
        <v>0</v>
      </c>
      <c r="F287" s="6" t="s">
        <v>11</v>
      </c>
      <c r="G287" s="6" t="s">
        <v>521</v>
      </c>
    </row>
    <row r="288" customFormat="false" ht="15" hidden="false" customHeight="false" outlineLevel="0" collapsed="false">
      <c r="A288" s="0" t="s">
        <v>522</v>
      </c>
      <c r="B288" s="0" t="s">
        <v>457</v>
      </c>
      <c r="C288" s="14" t="n">
        <v>18000</v>
      </c>
      <c r="D288" s="14" t="n">
        <v>25000</v>
      </c>
      <c r="E288" s="14" t="n">
        <v>32000</v>
      </c>
      <c r="F288" s="6" t="s">
        <v>11</v>
      </c>
      <c r="G288" s="6" t="s">
        <v>523</v>
      </c>
    </row>
    <row r="289" customFormat="false" ht="15" hidden="false" customHeight="false" outlineLevel="0" collapsed="false">
      <c r="A289" s="0" t="s">
        <v>524</v>
      </c>
      <c r="B289" s="0" t="s">
        <v>513</v>
      </c>
      <c r="C289" s="14" t="n">
        <v>150</v>
      </c>
      <c r="D289" s="14" t="n">
        <v>150</v>
      </c>
      <c r="E289" s="14" t="n">
        <v>150</v>
      </c>
      <c r="F289" s="6" t="s">
        <v>11</v>
      </c>
    </row>
    <row r="290" customFormat="false" ht="15" hidden="false" customHeight="false" outlineLevel="0" collapsed="false">
      <c r="A290" s="0" t="s">
        <v>525</v>
      </c>
      <c r="B290" s="0" t="s">
        <v>457</v>
      </c>
      <c r="C290" s="14" t="n">
        <v>2500</v>
      </c>
      <c r="D290" s="14" t="n">
        <v>2500</v>
      </c>
      <c r="E290" s="14" t="n">
        <v>2500</v>
      </c>
      <c r="F290" s="6" t="s">
        <v>11</v>
      </c>
    </row>
    <row r="291" customFormat="false" ht="15" hidden="false" customHeight="false" outlineLevel="0" collapsed="false">
      <c r="A291" s="4" t="s">
        <v>526</v>
      </c>
      <c r="B291" s="5"/>
      <c r="C291" s="5"/>
      <c r="D291" s="5"/>
      <c r="E291" s="5"/>
      <c r="F291" s="5"/>
      <c r="G291" s="5"/>
    </row>
    <row r="292" customFormat="false" ht="15" hidden="false" customHeight="false" outlineLevel="0" collapsed="false">
      <c r="A292" s="0" t="s">
        <v>527</v>
      </c>
      <c r="B292" s="0" t="s">
        <v>528</v>
      </c>
      <c r="C292" s="14" t="n">
        <v>450</v>
      </c>
      <c r="D292" s="14" t="n">
        <v>390</v>
      </c>
      <c r="E292" s="14" t="n">
        <v>330</v>
      </c>
      <c r="F292" s="6" t="s">
        <v>9</v>
      </c>
      <c r="G292" s="6" t="s">
        <v>529</v>
      </c>
    </row>
    <row r="293" customFormat="false" ht="15" hidden="false" customHeight="false" outlineLevel="0" collapsed="false">
      <c r="A293" s="0" t="s">
        <v>530</v>
      </c>
      <c r="B293" s="0" t="s">
        <v>113</v>
      </c>
      <c r="C293" s="14" t="n">
        <v>7</v>
      </c>
      <c r="D293" s="14" t="n">
        <v>5</v>
      </c>
      <c r="E293" s="14" t="n">
        <v>3</v>
      </c>
      <c r="F293" s="6" t="s">
        <v>11</v>
      </c>
      <c r="G293" s="6" t="s">
        <v>531</v>
      </c>
    </row>
    <row r="294" customFormat="false" ht="15" hidden="false" customHeight="false" outlineLevel="0" collapsed="false">
      <c r="A294" s="0" t="s">
        <v>532</v>
      </c>
      <c r="B294" s="0" t="s">
        <v>474</v>
      </c>
      <c r="C294" s="14" t="n">
        <v>24</v>
      </c>
      <c r="D294" s="14" t="n">
        <v>12</v>
      </c>
      <c r="E294" s="14" t="n">
        <v>8</v>
      </c>
      <c r="F294" s="6" t="s">
        <v>11</v>
      </c>
      <c r="G294" s="6" t="s">
        <v>533</v>
      </c>
    </row>
    <row r="295" customFormat="false" ht="15" hidden="false" customHeight="false" outlineLevel="0" collapsed="false">
      <c r="A295" s="0" t="s">
        <v>534</v>
      </c>
      <c r="B295" s="0" t="s">
        <v>111</v>
      </c>
      <c r="C295" s="14" t="n">
        <v>20</v>
      </c>
      <c r="D295" s="14" t="n">
        <v>16</v>
      </c>
      <c r="E295" s="14" t="n">
        <v>14</v>
      </c>
      <c r="F295" s="6" t="s">
        <v>11</v>
      </c>
      <c r="G295" s="6" t="s">
        <v>535</v>
      </c>
    </row>
    <row r="296" customFormat="false" ht="15" hidden="false" customHeight="false" outlineLevel="0" collapsed="false">
      <c r="A296" s="0" t="s">
        <v>536</v>
      </c>
      <c r="B296" s="0" t="s">
        <v>477</v>
      </c>
      <c r="C296" s="14" t="n">
        <v>10000</v>
      </c>
      <c r="D296" s="14" t="n">
        <v>8000</v>
      </c>
      <c r="E296" s="14" t="n">
        <v>6000</v>
      </c>
      <c r="F296" s="6" t="s">
        <v>11</v>
      </c>
      <c r="G296" s="6" t="s">
        <v>537</v>
      </c>
    </row>
    <row r="297" customFormat="false" ht="15" hidden="false" customHeight="false" outlineLevel="0" collapsed="false">
      <c r="A297" s="0" t="s">
        <v>538</v>
      </c>
      <c r="B297" s="0" t="s">
        <v>113</v>
      </c>
      <c r="C297" s="14" t="n">
        <v>3</v>
      </c>
      <c r="D297" s="14" t="n">
        <v>2</v>
      </c>
      <c r="E297" s="14" t="n">
        <v>1.5</v>
      </c>
      <c r="F297" s="6" t="s">
        <v>11</v>
      </c>
    </row>
    <row r="298" customFormat="false" ht="15" hidden="false" customHeight="false" outlineLevel="0" collapsed="false">
      <c r="A298" s="0" t="s">
        <v>539</v>
      </c>
      <c r="B298" s="0" t="s">
        <v>528</v>
      </c>
      <c r="C298" s="14" t="n">
        <v>40</v>
      </c>
      <c r="D298" s="14" t="n">
        <v>30</v>
      </c>
      <c r="E298" s="14" t="n">
        <v>20</v>
      </c>
      <c r="F298" s="6" t="s">
        <v>9</v>
      </c>
      <c r="G298" s="6" t="s">
        <v>540</v>
      </c>
    </row>
    <row r="299" customFormat="false" ht="15" hidden="false" customHeight="false" outlineLevel="0" collapsed="false">
      <c r="A299" s="0" t="s">
        <v>541</v>
      </c>
      <c r="B299" s="0" t="s">
        <v>542</v>
      </c>
      <c r="C299" s="14" t="n">
        <v>450000</v>
      </c>
      <c r="D299" s="14" t="n">
        <v>450000</v>
      </c>
      <c r="E299" s="14" t="n">
        <v>450000</v>
      </c>
      <c r="F299" s="6" t="s">
        <v>11</v>
      </c>
    </row>
    <row r="300" customFormat="false" ht="15" hidden="false" customHeight="false" outlineLevel="0" collapsed="false">
      <c r="A300" s="0" t="s">
        <v>543</v>
      </c>
      <c r="B300" s="0" t="s">
        <v>542</v>
      </c>
      <c r="C300" s="14" t="n">
        <v>60000</v>
      </c>
      <c r="D300" s="14" t="n">
        <v>60000</v>
      </c>
      <c r="E300" s="14" t="n">
        <v>60000</v>
      </c>
      <c r="F300" s="6" t="s">
        <v>11</v>
      </c>
      <c r="G300" s="6" t="s">
        <v>544</v>
      </c>
    </row>
    <row r="301" customFormat="false" ht="15" hidden="false" customHeight="false" outlineLevel="0" collapsed="false">
      <c r="A301" s="0" t="s">
        <v>545</v>
      </c>
      <c r="B301" s="0" t="s">
        <v>143</v>
      </c>
      <c r="C301" s="14" t="n">
        <v>4</v>
      </c>
      <c r="D301" s="14" t="n">
        <v>4</v>
      </c>
      <c r="E301" s="14" t="n">
        <v>4</v>
      </c>
      <c r="F301" s="6" t="s">
        <v>10</v>
      </c>
      <c r="G301" s="6" t="s">
        <v>546</v>
      </c>
    </row>
    <row r="302" customFormat="false" ht="15" hidden="false" customHeight="false" outlineLevel="0" collapsed="false">
      <c r="A302" s="0" t="s">
        <v>547</v>
      </c>
      <c r="B302" s="0" t="s">
        <v>542</v>
      </c>
      <c r="C302" s="14" t="n">
        <v>80000</v>
      </c>
      <c r="D302" s="14" t="n">
        <v>80000</v>
      </c>
      <c r="E302" s="14" t="n">
        <v>80000</v>
      </c>
      <c r="F302" s="6" t="s">
        <v>11</v>
      </c>
    </row>
    <row r="303" customFormat="false" ht="15" hidden="false" customHeight="false" outlineLevel="0" collapsed="false">
      <c r="A303" s="0" t="s">
        <v>548</v>
      </c>
      <c r="B303" s="0" t="s">
        <v>549</v>
      </c>
      <c r="C303" s="14" t="n">
        <v>1.5</v>
      </c>
      <c r="D303" s="14" t="n">
        <v>1.5</v>
      </c>
      <c r="E303" s="14" t="n">
        <v>1.5</v>
      </c>
      <c r="F303" s="6" t="s">
        <v>11</v>
      </c>
      <c r="G303" s="6" t="s">
        <v>550</v>
      </c>
    </row>
    <row r="304" customFormat="false" ht="15" hidden="false" customHeight="false" outlineLevel="0" collapsed="false">
      <c r="A304" s="0" t="s">
        <v>551</v>
      </c>
      <c r="B304" s="0" t="s">
        <v>552</v>
      </c>
      <c r="C304" s="14" t="n">
        <v>6000</v>
      </c>
      <c r="D304" s="14" t="n">
        <v>8000</v>
      </c>
      <c r="E304" s="14" t="n">
        <v>10000</v>
      </c>
      <c r="F304" s="6" t="s">
        <v>10</v>
      </c>
      <c r="G304" s="6" t="s">
        <v>553</v>
      </c>
    </row>
    <row r="305" customFormat="false" ht="15" hidden="false" customHeight="false" outlineLevel="0" collapsed="false">
      <c r="A305" s="0" t="s">
        <v>554</v>
      </c>
      <c r="B305" s="0" t="s">
        <v>149</v>
      </c>
      <c r="C305" s="14" t="n">
        <v>20000</v>
      </c>
      <c r="D305" s="14" t="n">
        <v>20000</v>
      </c>
      <c r="E305" s="14" t="n">
        <v>20000</v>
      </c>
      <c r="F305" s="6" t="s">
        <v>11</v>
      </c>
      <c r="G305" s="6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556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557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558</v>
      </c>
      <c r="B4" s="0" t="s">
        <v>559</v>
      </c>
      <c r="C4" s="2" t="n">
        <f aca="false">Inputs!C27*Inputs!C28*Inputs!C29</f>
        <v>8120</v>
      </c>
      <c r="D4" s="2" t="n">
        <f aca="false">Inputs!D27*Inputs!D28*Inputs!D29</f>
        <v>9600</v>
      </c>
      <c r="E4" s="2" t="n">
        <f aca="false">Inputs!E27*Inputs!E28*Inputs!E29</f>
        <v>13725</v>
      </c>
    </row>
    <row r="5" customFormat="false" ht="15" hidden="false" customHeight="false" outlineLevel="0" collapsed="false">
      <c r="A5" s="4" t="s">
        <v>25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0" t="s">
        <v>560</v>
      </c>
      <c r="B6" s="0" t="s">
        <v>26</v>
      </c>
      <c r="C6" s="2" t="n">
        <f aca="false">C4*Inputs!C30</f>
        <v>276080</v>
      </c>
      <c r="D6" s="2" t="n">
        <f aca="false">D4*Inputs!D30</f>
        <v>364800</v>
      </c>
      <c r="E6" s="2" t="n">
        <f aca="false">E4*Inputs!E30</f>
        <v>576450</v>
      </c>
      <c r="F6" s="2" t="n">
        <f aca="false">D6/Inputs!$D$4</f>
        <v>2808.53029486489</v>
      </c>
    </row>
    <row r="7" customFormat="false" ht="15" hidden="false" customHeight="false" outlineLevel="0" collapsed="false">
      <c r="A7" s="0" t="s">
        <v>561</v>
      </c>
      <c r="B7" s="0" t="s">
        <v>26</v>
      </c>
      <c r="C7" s="2" t="n">
        <f aca="false">Inputs!C37*Inputs!C38</f>
        <v>32000</v>
      </c>
      <c r="D7" s="2" t="n">
        <f aca="false">Inputs!D37*Inputs!D38</f>
        <v>80000</v>
      </c>
      <c r="E7" s="2" t="n">
        <f aca="false">Inputs!E37*Inputs!E38</f>
        <v>100000</v>
      </c>
      <c r="F7" s="2" t="n">
        <f aca="false">D7/Inputs!$D$4</f>
        <v>615.905766417738</v>
      </c>
    </row>
    <row r="8" customFormat="false" ht="15" hidden="false" customHeight="false" outlineLevel="0" collapsed="false">
      <c r="A8" s="1" t="s">
        <v>562</v>
      </c>
      <c r="B8" s="6" t="s">
        <v>26</v>
      </c>
      <c r="C8" s="7" t="n">
        <f aca="false">C6+C7</f>
        <v>308080</v>
      </c>
      <c r="D8" s="7" t="n">
        <f aca="false">D6+D7</f>
        <v>444800</v>
      </c>
      <c r="E8" s="7" t="n">
        <f aca="false">E6+E7</f>
        <v>676450</v>
      </c>
      <c r="F8" s="2" t="n">
        <f aca="false">D8/Inputs!$D$4</f>
        <v>3424.43606128262</v>
      </c>
    </row>
    <row r="9" customFormat="false" ht="15" hidden="false" customHeight="false" outlineLevel="0" collapsed="false">
      <c r="A9" s="4" t="s">
        <v>27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0" t="s">
        <v>563</v>
      </c>
      <c r="B10" s="0" t="s">
        <v>26</v>
      </c>
      <c r="C10" s="2" t="n">
        <f aca="false">Inputs!C27*Inputs!C32*Inputs!C29*Inputs!C33</f>
        <v>194880</v>
      </c>
      <c r="D10" s="2" t="n">
        <f aca="false">Inputs!D27*Inputs!D32*Inputs!D29*Inputs!D33</f>
        <v>187200</v>
      </c>
      <c r="E10" s="2" t="n">
        <f aca="false">Inputs!E27*Inputs!E32*Inputs!E29*Inputs!E33</f>
        <v>219600</v>
      </c>
      <c r="F10" s="2" t="n">
        <f aca="false">D10/Inputs!$D$4</f>
        <v>1441.21949341751</v>
      </c>
    </row>
    <row r="11" customFormat="false" ht="15" hidden="false" customHeight="false" outlineLevel="0" collapsed="false">
      <c r="A11" s="0" t="s">
        <v>564</v>
      </c>
      <c r="B11" s="0" t="s">
        <v>26</v>
      </c>
      <c r="C11" s="2" t="n">
        <f aca="false">Inputs!C20*Inputs!C34</f>
        <v>40000</v>
      </c>
      <c r="D11" s="2" t="n">
        <f aca="false">Inputs!D20*Inputs!D34</f>
        <v>30000</v>
      </c>
      <c r="E11" s="2" t="n">
        <f aca="false">Inputs!E20*Inputs!E34</f>
        <v>20000</v>
      </c>
      <c r="F11" s="2" t="n">
        <f aca="false">D11/Inputs!$D$4</f>
        <v>230.964662406652</v>
      </c>
    </row>
    <row r="12" customFormat="false" ht="15" hidden="false" customHeight="false" outlineLevel="0" collapsed="false">
      <c r="A12" s="0" t="s">
        <v>565</v>
      </c>
      <c r="B12" s="0" t="s">
        <v>26</v>
      </c>
      <c r="C12" s="2" t="n">
        <f aca="false">Inputs!C20*Inputs!C35</f>
        <v>18000</v>
      </c>
      <c r="D12" s="2" t="n">
        <f aca="false">Inputs!D20*Inputs!D35</f>
        <v>18000</v>
      </c>
      <c r="E12" s="2" t="n">
        <f aca="false">Inputs!E20*Inputs!E35</f>
        <v>18000</v>
      </c>
      <c r="F12" s="2" t="n">
        <f aca="false">D12/Inputs!$D$4</f>
        <v>138.578797443991</v>
      </c>
    </row>
    <row r="13" customFormat="false" ht="15" hidden="false" customHeight="false" outlineLevel="0" collapsed="false">
      <c r="A13" s="0" t="s">
        <v>566</v>
      </c>
      <c r="B13" s="0" t="s">
        <v>26</v>
      </c>
      <c r="C13" s="2" t="n">
        <f aca="false">Inputs!C20*Inputs!C36</f>
        <v>70000</v>
      </c>
      <c r="D13" s="2" t="n">
        <f aca="false">Inputs!D20*Inputs!D36</f>
        <v>60000</v>
      </c>
      <c r="E13" s="2" t="n">
        <f aca="false">Inputs!E20*Inputs!E36</f>
        <v>50000</v>
      </c>
      <c r="F13" s="2" t="n">
        <f aca="false">D13/Inputs!$D$4</f>
        <v>461.929324813304</v>
      </c>
    </row>
    <row r="14" customFormat="false" ht="15" hidden="false" customHeight="false" outlineLevel="0" collapsed="false">
      <c r="A14" s="0" t="s">
        <v>567</v>
      </c>
      <c r="B14" s="0" t="s">
        <v>26</v>
      </c>
      <c r="C14" s="2" t="n">
        <f aca="false">C4*Inputs!C31</f>
        <v>24360</v>
      </c>
      <c r="D14" s="2" t="n">
        <f aca="false">D4*Inputs!D31</f>
        <v>24000</v>
      </c>
      <c r="E14" s="2" t="n">
        <f aca="false">E4*Inputs!E31</f>
        <v>27450</v>
      </c>
      <c r="F14" s="2" t="n">
        <f aca="false">D14/Inputs!$D$4</f>
        <v>184.771729925321</v>
      </c>
    </row>
    <row r="15" customFormat="false" ht="15" hidden="false" customHeight="false" outlineLevel="0" collapsed="false">
      <c r="A15" s="0" t="s">
        <v>568</v>
      </c>
      <c r="B15" s="0" t="s">
        <v>26</v>
      </c>
      <c r="C15" s="2" t="n">
        <f aca="false">Inputs!C20*Inputs!C40*Inputs!C39</f>
        <v>24000</v>
      </c>
      <c r="D15" s="2" t="n">
        <f aca="false">Inputs!D20*Inputs!D40*Inputs!D39</f>
        <v>18000</v>
      </c>
      <c r="E15" s="2" t="n">
        <f aca="false">Inputs!E20*Inputs!E40*Inputs!E39</f>
        <v>12000</v>
      </c>
      <c r="F15" s="2" t="n">
        <f aca="false">D15/Inputs!$D$4</f>
        <v>138.578797443991</v>
      </c>
    </row>
    <row r="16" customFormat="false" ht="15" hidden="false" customHeight="false" outlineLevel="0" collapsed="false">
      <c r="A16" s="1" t="s">
        <v>569</v>
      </c>
      <c r="B16" s="6" t="s">
        <v>26</v>
      </c>
      <c r="C16" s="7" t="n">
        <f aca="false">SUM(C10:C15)</f>
        <v>371240</v>
      </c>
      <c r="D16" s="7" t="n">
        <f aca="false">SUM(D10:D15)</f>
        <v>337200</v>
      </c>
      <c r="E16" s="7" t="n">
        <f aca="false">SUM(E10:E15)</f>
        <v>347050</v>
      </c>
      <c r="F16" s="2" t="n">
        <f aca="false">D16/Inputs!$D$4</f>
        <v>2596.04280545077</v>
      </c>
    </row>
    <row r="17" customFormat="false" ht="15" hidden="false" customHeight="false" outlineLevel="0" collapsed="false">
      <c r="A17" s="1" t="s">
        <v>570</v>
      </c>
      <c r="B17" s="6" t="s">
        <v>26</v>
      </c>
      <c r="C17" s="7" t="n">
        <f aca="false">C8-C16</f>
        <v>-63160</v>
      </c>
      <c r="D17" s="7" t="n">
        <f aca="false">D8-D16</f>
        <v>107600</v>
      </c>
      <c r="E17" s="7" t="n">
        <f aca="false">E8-E16</f>
        <v>329400</v>
      </c>
      <c r="F17" s="2" t="n">
        <f aca="false">D17/Inputs!$D$4</f>
        <v>828.393255831858</v>
      </c>
    </row>
    <row r="18" customFormat="false" ht="15" hidden="false" customHeight="false" outlineLevel="0" collapsed="false">
      <c r="A18" s="0" t="s">
        <v>571</v>
      </c>
      <c r="B18" s="0" t="s">
        <v>572</v>
      </c>
      <c r="C18" s="2" t="n">
        <f aca="false">C17/Inputs!C20</f>
        <v>-6316</v>
      </c>
      <c r="D18" s="2" t="n">
        <f aca="false">D17/Inputs!D20</f>
        <v>10760</v>
      </c>
      <c r="E18" s="2" t="n">
        <f aca="false">E17/Inputs!E20</f>
        <v>32940</v>
      </c>
    </row>
    <row r="19" customFormat="false" ht="15" hidden="false" customHeight="false" outlineLevel="0" collapsed="false">
      <c r="A19" s="0" t="s">
        <v>573</v>
      </c>
      <c r="B19" s="0" t="s">
        <v>26</v>
      </c>
      <c r="C19" s="2" t="n">
        <f aca="false">Inputs!C20*Inputs!C40</f>
        <v>600000</v>
      </c>
      <c r="D19" s="2" t="n">
        <f aca="false">Inputs!D20*Inputs!D40</f>
        <v>600000</v>
      </c>
      <c r="E19" s="2" t="n">
        <f aca="false">Inputs!E20*Inputs!E40</f>
        <v>600000</v>
      </c>
      <c r="F19" s="2" t="n">
        <f aca="false">D19/Inputs!$D$4</f>
        <v>4619.29324813304</v>
      </c>
    </row>
    <row r="20" customFormat="false" ht="15" hidden="false" customHeight="false" outlineLevel="0" collapsed="false">
      <c r="A20" s="0" t="s">
        <v>574</v>
      </c>
      <c r="B20" s="0" t="s">
        <v>26</v>
      </c>
      <c r="C20" s="2" t="n">
        <f aca="false">C10+C11</f>
        <v>234880</v>
      </c>
      <c r="D20" s="2" t="n">
        <f aca="false">D10+D11</f>
        <v>217200</v>
      </c>
      <c r="E20" s="2" t="n">
        <f aca="false">E10+E11</f>
        <v>239600</v>
      </c>
      <c r="F20" s="2" t="n">
        <f aca="false">D20/Inputs!$D$4</f>
        <v>1672.18415582416</v>
      </c>
    </row>
    <row r="21" customFormat="false" ht="15" hidden="false" customHeight="false" outlineLevel="0" collapsed="false">
      <c r="A21" s="0" t="s">
        <v>575</v>
      </c>
      <c r="B21" s="0" t="s">
        <v>26</v>
      </c>
      <c r="C21" s="2" t="n">
        <f aca="false">C13</f>
        <v>70000</v>
      </c>
      <c r="D21" s="2" t="n">
        <f aca="false">D13</f>
        <v>60000</v>
      </c>
      <c r="E21" s="2" t="n">
        <f aca="false">E13</f>
        <v>50000</v>
      </c>
      <c r="F21" s="2" t="n">
        <f aca="false">D21/Inputs!$D$4</f>
        <v>461.929324813304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576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557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577</v>
      </c>
      <c r="B4" s="0" t="s">
        <v>157</v>
      </c>
      <c r="C4" s="10" t="n">
        <f aca="false">MAX(0,Inputs!C42*(Inputs!C43-Inputs!C44))</f>
        <v>24.8</v>
      </c>
      <c r="D4" s="10" t="n">
        <f aca="false">MAX(0,Inputs!D42*(Inputs!D43-Inputs!D44))</f>
        <v>34</v>
      </c>
      <c r="E4" s="10" t="n">
        <f aca="false">MAX(0,Inputs!E42*(Inputs!E43-Inputs!E44))</f>
        <v>43.2</v>
      </c>
    </row>
    <row r="5" customFormat="false" ht="15" hidden="false" customHeight="false" outlineLevel="0" collapsed="false">
      <c r="A5" s="0" t="s">
        <v>578</v>
      </c>
      <c r="B5" s="0" t="s">
        <v>26</v>
      </c>
      <c r="C5" s="2" t="n">
        <f aca="false">Inputs!C45*Inputs!C46</f>
        <v>5670</v>
      </c>
      <c r="D5" s="2" t="n">
        <f aca="false">Inputs!D45*Inputs!D46</f>
        <v>6720</v>
      </c>
      <c r="E5" s="2" t="n">
        <f aca="false">Inputs!E45*Inputs!E46</f>
        <v>8120</v>
      </c>
      <c r="F5" s="2" t="n">
        <f aca="false">D5/Inputs!$D$4</f>
        <v>51.73608437909</v>
      </c>
    </row>
    <row r="6" customFormat="false" ht="15" hidden="false" customHeight="false" outlineLevel="0" collapsed="false">
      <c r="A6" s="4" t="s">
        <v>25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1" t="s">
        <v>579</v>
      </c>
      <c r="B7" s="6" t="s">
        <v>26</v>
      </c>
      <c r="C7" s="7" t="n">
        <f aca="false">C4*C5</f>
        <v>140616</v>
      </c>
      <c r="D7" s="7" t="n">
        <f aca="false">D4*D5</f>
        <v>228480</v>
      </c>
      <c r="E7" s="7" t="n">
        <f aca="false">E4*E5</f>
        <v>350784</v>
      </c>
      <c r="F7" s="2" t="n">
        <f aca="false">D7/Inputs!$D$4</f>
        <v>1759.02686888906</v>
      </c>
    </row>
    <row r="8" customFormat="false" ht="15" hidden="false" customHeight="false" outlineLevel="0" collapsed="false">
      <c r="A8" s="4" t="s">
        <v>27</v>
      </c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0" t="s">
        <v>580</v>
      </c>
      <c r="B9" s="0" t="s">
        <v>26</v>
      </c>
      <c r="C9" s="2" t="n">
        <f aca="false">Inputs!C21*Inputs!C47</f>
        <v>60000</v>
      </c>
      <c r="D9" s="2" t="n">
        <f aca="false">Inputs!D21*Inputs!D47</f>
        <v>50000</v>
      </c>
      <c r="E9" s="2" t="n">
        <f aca="false">Inputs!E21*Inputs!E47</f>
        <v>40000</v>
      </c>
      <c r="F9" s="2" t="n">
        <f aca="false">D9/Inputs!$D$4</f>
        <v>384.941104011086</v>
      </c>
    </row>
    <row r="10" customFormat="false" ht="15" hidden="false" customHeight="false" outlineLevel="0" collapsed="false">
      <c r="A10" s="0" t="s">
        <v>581</v>
      </c>
      <c r="B10" s="0" t="s">
        <v>26</v>
      </c>
      <c r="C10" s="2" t="n">
        <f aca="false">Inputs!C21*Inputs!C48</f>
        <v>45000</v>
      </c>
      <c r="D10" s="2" t="n">
        <f aca="false">Inputs!D21*Inputs!D48</f>
        <v>40000</v>
      </c>
      <c r="E10" s="2" t="n">
        <f aca="false">Inputs!E21*Inputs!E48</f>
        <v>35000</v>
      </c>
      <c r="F10" s="2" t="n">
        <f aca="false">D10/Inputs!$D$4</f>
        <v>307.952883208869</v>
      </c>
    </row>
    <row r="11" customFormat="false" ht="15" hidden="false" customHeight="false" outlineLevel="0" collapsed="false">
      <c r="A11" s="0" t="s">
        <v>565</v>
      </c>
      <c r="B11" s="0" t="s">
        <v>26</v>
      </c>
      <c r="C11" s="2" t="n">
        <f aca="false">Inputs!C21*Inputs!C49</f>
        <v>10000</v>
      </c>
      <c r="D11" s="2" t="n">
        <f aca="false">Inputs!D21*Inputs!D49</f>
        <v>10000</v>
      </c>
      <c r="E11" s="2" t="n">
        <f aca="false">Inputs!E21*Inputs!E49</f>
        <v>10000</v>
      </c>
      <c r="F11" s="2" t="n">
        <f aca="false">D11/Inputs!$D$4</f>
        <v>76.9882208022173</v>
      </c>
    </row>
    <row r="12" customFormat="false" ht="15" hidden="false" customHeight="false" outlineLevel="0" collapsed="false">
      <c r="A12" s="0" t="s">
        <v>582</v>
      </c>
      <c r="B12" s="0" t="s">
        <v>26</v>
      </c>
      <c r="C12" s="2" t="n">
        <f aca="false">C7*Inputs!C50</f>
        <v>8436.96</v>
      </c>
      <c r="D12" s="2" t="n">
        <f aca="false">D7*Inputs!D50</f>
        <v>9139.2</v>
      </c>
      <c r="E12" s="2" t="n">
        <f aca="false">E7*Inputs!E50</f>
        <v>10523.52</v>
      </c>
      <c r="F12" s="2" t="n">
        <f aca="false">D12/Inputs!$D$4</f>
        <v>70.3610747555624</v>
      </c>
    </row>
    <row r="13" customFormat="false" ht="15" hidden="false" customHeight="false" outlineLevel="0" collapsed="false">
      <c r="A13" s="1" t="s">
        <v>569</v>
      </c>
      <c r="B13" s="6" t="s">
        <v>26</v>
      </c>
      <c r="C13" s="7" t="n">
        <f aca="false">SUM(C9:C12)</f>
        <v>123436.96</v>
      </c>
      <c r="D13" s="7" t="n">
        <f aca="false">SUM(D9:D12)</f>
        <v>109139.2</v>
      </c>
      <c r="E13" s="7" t="n">
        <f aca="false">SUM(E9:E12)</f>
        <v>95523.52</v>
      </c>
      <c r="F13" s="2" t="n">
        <f aca="false">D13/Inputs!$D$4</f>
        <v>840.243282777735</v>
      </c>
    </row>
    <row r="14" customFormat="false" ht="15" hidden="false" customHeight="false" outlineLevel="0" collapsed="false">
      <c r="A14" s="1" t="s">
        <v>28</v>
      </c>
      <c r="B14" s="6" t="s">
        <v>26</v>
      </c>
      <c r="C14" s="7" t="n">
        <f aca="false">C7-C13</f>
        <v>17179.04</v>
      </c>
      <c r="D14" s="7" t="n">
        <f aca="false">D7-D13</f>
        <v>119340.8</v>
      </c>
      <c r="E14" s="7" t="n">
        <f aca="false">E7-E13</f>
        <v>255260.48</v>
      </c>
      <c r="F14" s="2" t="n">
        <f aca="false">D14/Inputs!$D$4</f>
        <v>918.783586111325</v>
      </c>
    </row>
    <row r="15" customFormat="false" ht="15" hidden="false" customHeight="false" outlineLevel="0" collapsed="false">
      <c r="A15" s="0" t="s">
        <v>571</v>
      </c>
      <c r="B15" s="0" t="s">
        <v>572</v>
      </c>
      <c r="C15" s="2" t="n">
        <f aca="false">C14/Inputs!C21</f>
        <v>343.5808</v>
      </c>
      <c r="D15" s="2" t="n">
        <f aca="false">D14/Inputs!D21</f>
        <v>2386.816</v>
      </c>
      <c r="E15" s="2" t="n">
        <f aca="false">E14/Inputs!E21</f>
        <v>5105.2096</v>
      </c>
    </row>
    <row r="16" customFormat="false" ht="15" hidden="false" customHeight="false" outlineLevel="0" collapsed="false">
      <c r="A16" s="0" t="s">
        <v>573</v>
      </c>
      <c r="B16" s="0" t="s">
        <v>26</v>
      </c>
      <c r="C16" s="2" t="n">
        <f aca="false">Inputs!C21*Inputs!C51</f>
        <v>300000</v>
      </c>
      <c r="D16" s="2" t="n">
        <f aca="false">Inputs!D21*Inputs!D51</f>
        <v>300000</v>
      </c>
      <c r="E16" s="2" t="n">
        <f aca="false">Inputs!E21*Inputs!E51</f>
        <v>300000</v>
      </c>
      <c r="F16" s="2" t="n">
        <f aca="false">D16/Inputs!$D$4</f>
        <v>2309.64662406652</v>
      </c>
    </row>
    <row r="17" customFormat="false" ht="15" hidden="false" customHeight="false" outlineLevel="0" collapsed="false">
      <c r="A17" s="0" t="s">
        <v>583</v>
      </c>
      <c r="B17" s="0" t="s">
        <v>26</v>
      </c>
      <c r="C17" s="2" t="n">
        <f aca="false">C9</f>
        <v>60000</v>
      </c>
      <c r="D17" s="2" t="n">
        <f aca="false">D9</f>
        <v>50000</v>
      </c>
      <c r="E17" s="2" t="n">
        <f aca="false">E9</f>
        <v>40000</v>
      </c>
      <c r="F17" s="2" t="n">
        <f aca="false">D17/Inputs!$D$4</f>
        <v>384.941104011086</v>
      </c>
    </row>
    <row r="18" customFormat="false" ht="15" hidden="false" customHeight="false" outlineLevel="0" collapsed="false">
      <c r="A18" s="0" t="s">
        <v>575</v>
      </c>
      <c r="B18" s="0" t="s">
        <v>26</v>
      </c>
      <c r="C18" s="2" t="n">
        <f aca="false">C10</f>
        <v>45000</v>
      </c>
      <c r="D18" s="2" t="n">
        <f aca="false">D10</f>
        <v>40000</v>
      </c>
      <c r="E18" s="2" t="n">
        <f aca="false">E10</f>
        <v>35000</v>
      </c>
      <c r="F18" s="2" t="n">
        <f aca="false">D18/Inputs!$D$4</f>
        <v>307.952883208869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584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557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585</v>
      </c>
      <c r="B4" s="0" t="s">
        <v>157</v>
      </c>
      <c r="C4" s="10" t="n">
        <f aca="false">MAX(0,Inputs!C53*(Inputs!C54-Inputs!C55))</f>
        <v>7.84</v>
      </c>
      <c r="D4" s="10" t="n">
        <f aca="false">MAX(0,Inputs!D53*(Inputs!D54-Inputs!D55))</f>
        <v>9.6</v>
      </c>
      <c r="E4" s="10" t="n">
        <f aca="false">MAX(0,Inputs!E53*(Inputs!E54-Inputs!E55))</f>
        <v>11.36</v>
      </c>
    </row>
    <row r="5" customFormat="false" ht="15" hidden="false" customHeight="false" outlineLevel="0" collapsed="false">
      <c r="A5" s="0" t="s">
        <v>578</v>
      </c>
      <c r="B5" s="0" t="s">
        <v>26</v>
      </c>
      <c r="C5" s="2" t="n">
        <f aca="false">Inputs!C56*Inputs!C57</f>
        <v>5500</v>
      </c>
      <c r="D5" s="2" t="n">
        <f aca="false">Inputs!D56*Inputs!D57</f>
        <v>6500</v>
      </c>
      <c r="E5" s="2" t="n">
        <f aca="false">Inputs!E56*Inputs!E57</f>
        <v>7830</v>
      </c>
      <c r="F5" s="2" t="n">
        <f aca="false">D5/Inputs!$D$4</f>
        <v>50.0423435214412</v>
      </c>
    </row>
    <row r="6" customFormat="false" ht="15" hidden="false" customHeight="false" outlineLevel="0" collapsed="false">
      <c r="A6" s="4" t="s">
        <v>25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1" t="s">
        <v>579</v>
      </c>
      <c r="B7" s="6" t="s">
        <v>26</v>
      </c>
      <c r="C7" s="7" t="n">
        <f aca="false">C4*C5</f>
        <v>43120</v>
      </c>
      <c r="D7" s="7" t="n">
        <f aca="false">D4*D5</f>
        <v>62400</v>
      </c>
      <c r="E7" s="7" t="n">
        <f aca="false">E4*E5</f>
        <v>88948.8</v>
      </c>
      <c r="F7" s="2" t="n">
        <f aca="false">D7/Inputs!$D$4</f>
        <v>480.406497805836</v>
      </c>
    </row>
    <row r="8" customFormat="false" ht="15" hidden="false" customHeight="false" outlineLevel="0" collapsed="false">
      <c r="A8" s="4" t="s">
        <v>27</v>
      </c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0" t="s">
        <v>580</v>
      </c>
      <c r="B9" s="0" t="s">
        <v>26</v>
      </c>
      <c r="C9" s="2" t="n">
        <f aca="false">Inputs!C22*Inputs!C58</f>
        <v>12000</v>
      </c>
      <c r="D9" s="2" t="n">
        <f aca="false">Inputs!D22*Inputs!D58</f>
        <v>10000</v>
      </c>
      <c r="E9" s="2" t="n">
        <f aca="false">Inputs!E22*Inputs!E58</f>
        <v>8000</v>
      </c>
      <c r="F9" s="2" t="n">
        <f aca="false">D9/Inputs!$D$4</f>
        <v>76.9882208022173</v>
      </c>
    </row>
    <row r="10" customFormat="false" ht="15" hidden="false" customHeight="false" outlineLevel="0" collapsed="false">
      <c r="A10" s="0" t="s">
        <v>586</v>
      </c>
      <c r="B10" s="0" t="s">
        <v>26</v>
      </c>
      <c r="C10" s="2" t="n">
        <f aca="false">Inputs!C22*Inputs!C48</f>
        <v>9000</v>
      </c>
      <c r="D10" s="2" t="n">
        <f aca="false">Inputs!D22*Inputs!D48</f>
        <v>8000</v>
      </c>
      <c r="E10" s="2" t="n">
        <f aca="false">Inputs!E22*Inputs!E48</f>
        <v>7000</v>
      </c>
      <c r="F10" s="2" t="n">
        <f aca="false">D10/Inputs!$D$4</f>
        <v>61.5905766417738</v>
      </c>
    </row>
    <row r="11" customFormat="false" ht="15" hidden="false" customHeight="false" outlineLevel="0" collapsed="false">
      <c r="A11" s="0" t="s">
        <v>565</v>
      </c>
      <c r="B11" s="0" t="s">
        <v>26</v>
      </c>
      <c r="C11" s="2" t="n">
        <f aca="false">Inputs!C22*Inputs!C49</f>
        <v>2000</v>
      </c>
      <c r="D11" s="2" t="n">
        <f aca="false">Inputs!D22*Inputs!D49</f>
        <v>2000</v>
      </c>
      <c r="E11" s="2" t="n">
        <f aca="false">Inputs!E22*Inputs!E49</f>
        <v>2000</v>
      </c>
      <c r="F11" s="2" t="n">
        <f aca="false">D11/Inputs!$D$4</f>
        <v>15.3976441604435</v>
      </c>
    </row>
    <row r="12" customFormat="false" ht="15" hidden="false" customHeight="false" outlineLevel="0" collapsed="false">
      <c r="A12" s="0" t="s">
        <v>582</v>
      </c>
      <c r="B12" s="0" t="s">
        <v>26</v>
      </c>
      <c r="C12" s="2" t="n">
        <f aca="false">C7*Inputs!C50</f>
        <v>2587.2</v>
      </c>
      <c r="D12" s="2" t="n">
        <f aca="false">D7*Inputs!D50</f>
        <v>2496</v>
      </c>
      <c r="E12" s="2" t="n">
        <f aca="false">E7*Inputs!E50</f>
        <v>2668.464</v>
      </c>
      <c r="F12" s="2" t="n">
        <f aca="false">D12/Inputs!$D$4</f>
        <v>19.2162599122334</v>
      </c>
    </row>
    <row r="13" customFormat="false" ht="15" hidden="false" customHeight="false" outlineLevel="0" collapsed="false">
      <c r="A13" s="1" t="s">
        <v>569</v>
      </c>
      <c r="B13" s="6" t="s">
        <v>26</v>
      </c>
      <c r="C13" s="7" t="n">
        <f aca="false">SUM(C9:C12)</f>
        <v>25587.2</v>
      </c>
      <c r="D13" s="7" t="n">
        <f aca="false">SUM(D9:D12)</f>
        <v>22496</v>
      </c>
      <c r="E13" s="7" t="n">
        <f aca="false">SUM(E9:E12)</f>
        <v>19668.464</v>
      </c>
      <c r="F13" s="2" t="n">
        <f aca="false">D13/Inputs!$D$4</f>
        <v>173.192701516668</v>
      </c>
    </row>
    <row r="14" customFormat="false" ht="15" hidden="false" customHeight="false" outlineLevel="0" collapsed="false">
      <c r="A14" s="1" t="s">
        <v>28</v>
      </c>
      <c r="B14" s="6" t="s">
        <v>26</v>
      </c>
      <c r="C14" s="7" t="n">
        <f aca="false">C7-C13</f>
        <v>17532.8</v>
      </c>
      <c r="D14" s="7" t="n">
        <f aca="false">D7-D13</f>
        <v>39904</v>
      </c>
      <c r="E14" s="7" t="n">
        <f aca="false">E7-E13</f>
        <v>69280.336</v>
      </c>
      <c r="F14" s="2" t="n">
        <f aca="false">D14/Inputs!$D$4</f>
        <v>307.213796289168</v>
      </c>
    </row>
    <row r="15" customFormat="false" ht="15" hidden="false" customHeight="false" outlineLevel="0" collapsed="false">
      <c r="A15" s="0" t="s">
        <v>571</v>
      </c>
      <c r="B15" s="0" t="s">
        <v>572</v>
      </c>
      <c r="C15" s="2" t="n">
        <f aca="false">C14/Inputs!C22</f>
        <v>1753.28</v>
      </c>
      <c r="D15" s="2" t="n">
        <f aca="false">D14/Inputs!D22</f>
        <v>3990.4</v>
      </c>
      <c r="E15" s="2" t="n">
        <f aca="false">E14/Inputs!E22</f>
        <v>6928.0336</v>
      </c>
    </row>
    <row r="16" customFormat="false" ht="15" hidden="false" customHeight="false" outlineLevel="0" collapsed="false">
      <c r="A16" s="0" t="s">
        <v>573</v>
      </c>
      <c r="B16" s="0" t="s">
        <v>26</v>
      </c>
      <c r="C16" s="2" t="n">
        <f aca="false">Inputs!C22*Inputs!C59</f>
        <v>65000</v>
      </c>
      <c r="D16" s="2" t="n">
        <f aca="false">Inputs!D22*Inputs!D59</f>
        <v>65000</v>
      </c>
      <c r="E16" s="2" t="n">
        <f aca="false">Inputs!E22*Inputs!E59</f>
        <v>65000</v>
      </c>
      <c r="F16" s="2" t="n">
        <f aca="false">D16/Inputs!$D$4</f>
        <v>500.423435214412</v>
      </c>
    </row>
    <row r="17" customFormat="false" ht="15" hidden="false" customHeight="false" outlineLevel="0" collapsed="false">
      <c r="A17" s="0" t="s">
        <v>583</v>
      </c>
      <c r="B17" s="0" t="s">
        <v>26</v>
      </c>
      <c r="C17" s="2" t="n">
        <f aca="false">C9</f>
        <v>12000</v>
      </c>
      <c r="D17" s="2" t="n">
        <f aca="false">D9</f>
        <v>10000</v>
      </c>
      <c r="E17" s="2" t="n">
        <f aca="false">E9</f>
        <v>8000</v>
      </c>
      <c r="F17" s="2" t="n">
        <f aca="false">D17/Inputs!$D$4</f>
        <v>76.9882208022173</v>
      </c>
    </row>
    <row r="18" customFormat="false" ht="15" hidden="false" customHeight="false" outlineLevel="0" collapsed="false">
      <c r="A18" s="0" t="s">
        <v>575</v>
      </c>
      <c r="B18" s="0" t="s">
        <v>26</v>
      </c>
      <c r="C18" s="2" t="n">
        <f aca="false">C10</f>
        <v>9000</v>
      </c>
      <c r="D18" s="2" t="n">
        <f aca="false">D10</f>
        <v>8000</v>
      </c>
      <c r="E18" s="2" t="n">
        <f aca="false">E10</f>
        <v>7000</v>
      </c>
      <c r="F18" s="2" t="n">
        <f aca="false">D18/Inputs!$D$4</f>
        <v>61.5905766417738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49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62</v>
      </c>
      <c r="B4" s="0" t="s">
        <v>63</v>
      </c>
      <c r="C4" s="2" t="n">
        <f aca="false">Inputs!C69</f>
        <v>500</v>
      </c>
      <c r="D4" s="2" t="n">
        <f aca="false">Inputs!D69</f>
        <v>500</v>
      </c>
      <c r="E4" s="2" t="n">
        <f aca="false">Inputs!E69</f>
        <v>500</v>
      </c>
    </row>
    <row r="5" customFormat="false" ht="15" hidden="false" customHeight="false" outlineLevel="0" collapsed="false">
      <c r="A5" s="0" t="s">
        <v>588</v>
      </c>
      <c r="B5" s="0" t="s">
        <v>63</v>
      </c>
      <c r="C5" s="2" t="n">
        <f aca="false">Inputs!C69*Inputs!C70</f>
        <v>200</v>
      </c>
      <c r="D5" s="2" t="n">
        <f aca="false">Inputs!D69*Inputs!D70</f>
        <v>200</v>
      </c>
      <c r="E5" s="2" t="n">
        <f aca="false">Inputs!E69*Inputs!E70</f>
        <v>200</v>
      </c>
    </row>
    <row r="6" customFormat="false" ht="15" hidden="false" customHeight="false" outlineLevel="0" collapsed="false">
      <c r="A6" s="0" t="s">
        <v>589</v>
      </c>
      <c r="B6" s="0" t="s">
        <v>63</v>
      </c>
      <c r="C6" s="2" t="n">
        <f aca="false">Inputs!C69-C5</f>
        <v>300</v>
      </c>
      <c r="D6" s="2" t="n">
        <f aca="false">Inputs!D69-D5</f>
        <v>300</v>
      </c>
      <c r="E6" s="2" t="n">
        <f aca="false">Inputs!E69-E5</f>
        <v>300</v>
      </c>
    </row>
    <row r="7" customFormat="false" ht="15" hidden="false" customHeight="false" outlineLevel="0" collapsed="false">
      <c r="A7" s="0" t="s">
        <v>590</v>
      </c>
      <c r="B7" s="0" t="s">
        <v>591</v>
      </c>
      <c r="C7" s="2" t="n">
        <f aca="false">C5*Inputs!C71*(1-Inputs!C72)</f>
        <v>21120</v>
      </c>
      <c r="D7" s="2" t="n">
        <f aca="false">D5*Inputs!D71*(1-Inputs!D72)</f>
        <v>29100</v>
      </c>
      <c r="E7" s="2" t="n">
        <f aca="false">E5*Inputs!E71*(1-Inputs!E72)</f>
        <v>35100</v>
      </c>
    </row>
    <row r="8" customFormat="false" ht="15" hidden="false" customHeight="false" outlineLevel="0" collapsed="false">
      <c r="A8" s="0" t="s">
        <v>592</v>
      </c>
      <c r="B8" s="0" t="s">
        <v>26</v>
      </c>
      <c r="C8" s="2" t="n">
        <f aca="false">C7*Inputs!C73</f>
        <v>253440</v>
      </c>
      <c r="D8" s="2" t="n">
        <f aca="false">D7*Inputs!D73</f>
        <v>436500</v>
      </c>
      <c r="E8" s="2" t="n">
        <f aca="false">E7*Inputs!E73</f>
        <v>631800</v>
      </c>
      <c r="F8" s="2" t="n">
        <f aca="false">D8/Inputs!$D$4</f>
        <v>3360.53583801678</v>
      </c>
    </row>
    <row r="9" customFormat="false" ht="15" hidden="false" customHeight="false" outlineLevel="0" collapsed="false">
      <c r="A9" s="0" t="s">
        <v>593</v>
      </c>
      <c r="B9" s="0" t="s">
        <v>63</v>
      </c>
      <c r="C9" s="2" t="n">
        <f aca="false">C5*Inputs!C76</f>
        <v>160</v>
      </c>
      <c r="D9" s="2" t="n">
        <f aca="false">D5*Inputs!D76</f>
        <v>160</v>
      </c>
      <c r="E9" s="2" t="n">
        <f aca="false">E5*Inputs!E76</f>
        <v>160</v>
      </c>
    </row>
    <row r="10" customFormat="false" ht="15" hidden="false" customHeight="false" outlineLevel="0" collapsed="false">
      <c r="A10" s="0" t="s">
        <v>594</v>
      </c>
      <c r="B10" s="0" t="s">
        <v>26</v>
      </c>
      <c r="C10" s="2" t="n">
        <f aca="false">C9*Inputs!C77</f>
        <v>48000</v>
      </c>
      <c r="D10" s="2" t="n">
        <f aca="false">D9*Inputs!D77</f>
        <v>64000</v>
      </c>
      <c r="E10" s="2" t="n">
        <f aca="false">E9*Inputs!E77</f>
        <v>80000</v>
      </c>
      <c r="F10" s="2" t="n">
        <f aca="false">D10/Inputs!$D$4</f>
        <v>492.724613134191</v>
      </c>
    </row>
    <row r="11" customFormat="false" ht="15" hidden="false" customHeight="false" outlineLevel="0" collapsed="false">
      <c r="A11" s="0" t="s">
        <v>595</v>
      </c>
      <c r="B11" s="0" t="s">
        <v>63</v>
      </c>
      <c r="C11" s="2" t="n">
        <f aca="false">C6*Inputs!C82</f>
        <v>540</v>
      </c>
      <c r="D11" s="2" t="n">
        <f aca="false">D6*Inputs!D82</f>
        <v>600</v>
      </c>
      <c r="E11" s="2" t="n">
        <f aca="false">E6*Inputs!E82</f>
        <v>720</v>
      </c>
    </row>
    <row r="12" customFormat="false" ht="15" hidden="false" customHeight="false" outlineLevel="0" collapsed="false">
      <c r="A12" s="0" t="s">
        <v>596</v>
      </c>
      <c r="B12" s="0" t="s">
        <v>63</v>
      </c>
      <c r="C12" s="2" t="n">
        <f aca="false">C11*(1-Inputs!C83)</f>
        <v>453.6</v>
      </c>
      <c r="D12" s="2" t="n">
        <f aca="false">D11*(1-Inputs!D83)</f>
        <v>528</v>
      </c>
      <c r="E12" s="2" t="n">
        <f aca="false">E11*(1-Inputs!E83)</f>
        <v>655.2</v>
      </c>
    </row>
    <row r="13" customFormat="false" ht="15" hidden="false" customHeight="false" outlineLevel="0" collapsed="false">
      <c r="A13" s="0" t="s">
        <v>597</v>
      </c>
      <c r="B13" s="0" t="s">
        <v>26</v>
      </c>
      <c r="C13" s="2" t="n">
        <f aca="false">C12*Inputs!C86</f>
        <v>294840</v>
      </c>
      <c r="D13" s="2" t="n">
        <f aca="false">D12*Inputs!D86</f>
        <v>396000</v>
      </c>
      <c r="E13" s="2" t="n">
        <f aca="false">E12*Inputs!E86</f>
        <v>556920</v>
      </c>
      <c r="F13" s="2" t="n">
        <f aca="false">D13/Inputs!$D$4</f>
        <v>3048.7335437678</v>
      </c>
    </row>
    <row r="14" customFormat="false" ht="15" hidden="false" customHeight="false" outlineLevel="0" collapsed="false">
      <c r="A14" s="1" t="s">
        <v>562</v>
      </c>
      <c r="B14" s="6" t="s">
        <v>26</v>
      </c>
      <c r="C14" s="7" t="n">
        <f aca="false">C8+C10+C13</f>
        <v>596280</v>
      </c>
      <c r="D14" s="7" t="n">
        <f aca="false">D8+D10+D13</f>
        <v>896500</v>
      </c>
      <c r="E14" s="7" t="n">
        <f aca="false">E8+E10+E13</f>
        <v>1268720</v>
      </c>
      <c r="F14" s="2" t="n">
        <f aca="false">D14/Inputs!$D$4</f>
        <v>6901.99399491878</v>
      </c>
    </row>
    <row r="15" customFormat="false" ht="15" hidden="false" customHeight="false" outlineLevel="0" collapsed="false">
      <c r="A15" s="0" t="s">
        <v>598</v>
      </c>
      <c r="B15" s="0" t="s">
        <v>63</v>
      </c>
      <c r="C15" s="2" t="n">
        <f aca="false">C5*(Inputs!C76+Inputs!C78)</f>
        <v>178</v>
      </c>
      <c r="D15" s="2" t="n">
        <f aca="false">D5*(Inputs!D76+Inputs!D78)</f>
        <v>174</v>
      </c>
      <c r="E15" s="2" t="n">
        <f aca="false">E5*(Inputs!E76+Inputs!E78)</f>
        <v>172</v>
      </c>
    </row>
    <row r="16" customFormat="false" ht="15" hidden="false" customHeight="false" outlineLevel="0" collapsed="false">
      <c r="A16" s="0" t="s">
        <v>599</v>
      </c>
      <c r="B16" s="0" t="s">
        <v>63</v>
      </c>
      <c r="C16" s="2" t="n">
        <f aca="false">C15/(1-Inputs!C79)</f>
        <v>197.777777777778</v>
      </c>
      <c r="D16" s="2" t="n">
        <f aca="false">D15/(1-Inputs!D79)</f>
        <v>189.130434782609</v>
      </c>
      <c r="E16" s="2" t="n">
        <f aca="false">E15/(1-Inputs!E79)</f>
        <v>182.978723404255</v>
      </c>
    </row>
    <row r="17" customFormat="false" ht="15" hidden="false" customHeight="false" outlineLevel="0" collapsed="false">
      <c r="A17" s="0" t="s">
        <v>600</v>
      </c>
      <c r="B17" s="0" t="s">
        <v>26</v>
      </c>
      <c r="C17" s="2" t="n">
        <f aca="false">(C16+C11)*Inputs!C87</f>
        <v>103288.888888889</v>
      </c>
      <c r="D17" s="2" t="n">
        <f aca="false">(D16+D11)*Inputs!D87</f>
        <v>94695.6521739131</v>
      </c>
      <c r="E17" s="2" t="n">
        <f aca="false">(E16+E11)*Inputs!E87</f>
        <v>90297.8723404255</v>
      </c>
      <c r="F17" s="2" t="n">
        <f aca="false">D17/Inputs!$D$4</f>
        <v>729.044977857518</v>
      </c>
    </row>
    <row r="18" customFormat="false" ht="15" hidden="false" customHeight="false" outlineLevel="0" collapsed="false">
      <c r="A18" s="0" t="s">
        <v>601</v>
      </c>
      <c r="B18" s="0" t="s">
        <v>26</v>
      </c>
      <c r="C18" s="2" t="n">
        <f aca="false">C5*Inputs!C74/1000*365*(1-Inputs!C75)*Inputs!C61/70</f>
        <v>403585.714285714</v>
      </c>
      <c r="D18" s="2" t="n">
        <f aca="false">D5*Inputs!D74/1000*365*(1-Inputs!D75)*Inputs!D61/70</f>
        <v>290800.714285714</v>
      </c>
      <c r="E18" s="2" t="n">
        <f aca="false">E5*Inputs!E74/1000*365*(1-Inputs!E75)*Inputs!E61/70</f>
        <v>216810</v>
      </c>
      <c r="F18" s="2" t="n">
        <f aca="false">D18/Inputs!$D$4</f>
        <v>2238.82296008711</v>
      </c>
    </row>
    <row r="19" customFormat="false" ht="15" hidden="false" customHeight="false" outlineLevel="0" collapsed="false">
      <c r="A19" s="0" t="s">
        <v>602</v>
      </c>
      <c r="B19" s="0" t="s">
        <v>26</v>
      </c>
      <c r="C19" s="2" t="n">
        <f aca="false">C16*Inputs!C80*(1-Inputs!C85)*Inputs!C62/70</f>
        <v>97900</v>
      </c>
      <c r="D19" s="2" t="n">
        <f aca="false">D16*Inputs!D80*(1-Inputs!D85)*Inputs!D62/70</f>
        <v>68086.9565217391</v>
      </c>
      <c r="E19" s="2" t="n">
        <f aca="false">E16*Inputs!E80*(1-Inputs!E85)*Inputs!E62/70</f>
        <v>45875.3799392097</v>
      </c>
      <c r="F19" s="2" t="n">
        <f aca="false">D19/Inputs!$D$4</f>
        <v>524.189364244662</v>
      </c>
    </row>
    <row r="20" customFormat="false" ht="15" hidden="false" customHeight="false" outlineLevel="0" collapsed="false">
      <c r="A20" s="0" t="s">
        <v>603</v>
      </c>
      <c r="B20" s="0" t="s">
        <v>26</v>
      </c>
      <c r="C20" s="2" t="n">
        <f aca="false">C11*Inputs!C84*(1-Inputs!C85)*Inputs!C62/70</f>
        <v>291600</v>
      </c>
      <c r="D20" s="2" t="n">
        <f aca="false">D11*Inputs!D84*(1-Inputs!D85)*Inputs!D62/70</f>
        <v>237600</v>
      </c>
      <c r="E20" s="2" t="n">
        <f aca="false">E11*Inputs!E84*(1-Inputs!E85)*Inputs!E62/70</f>
        <v>200571.428571429</v>
      </c>
      <c r="F20" s="2" t="n">
        <f aca="false">D20/Inputs!$D$4</f>
        <v>1829.24012626068</v>
      </c>
    </row>
    <row r="21" customFormat="false" ht="15" hidden="false" customHeight="false" outlineLevel="0" collapsed="false">
      <c r="A21" s="0" t="s">
        <v>604</v>
      </c>
      <c r="B21" s="0" t="s">
        <v>26</v>
      </c>
      <c r="C21" s="2" t="n">
        <f aca="false">C5*Inputs!C81+(C16+C11)*Inputs!C88</f>
        <v>68266.6666666667</v>
      </c>
      <c r="D21" s="2" t="n">
        <f aca="false">D5*Inputs!D81+(D16+D11)*Inputs!D88</f>
        <v>51565.2173913044</v>
      </c>
      <c r="E21" s="2" t="n">
        <f aca="false">E5*Inputs!E81+(E16+E11)*Inputs!E88</f>
        <v>43089.3617021277</v>
      </c>
      <c r="F21" s="2" t="n">
        <f aca="false">D21/Inputs!$D$4</f>
        <v>396.991434223607</v>
      </c>
    </row>
    <row r="22" customFormat="false" ht="15" hidden="false" customHeight="false" outlineLevel="0" collapsed="false">
      <c r="A22" s="0" t="s">
        <v>605</v>
      </c>
      <c r="B22" s="0" t="s">
        <v>26</v>
      </c>
      <c r="C22" s="2" t="n">
        <f aca="false">(C16+C11)*Inputs!C66</f>
        <v>14755.5555555556</v>
      </c>
      <c r="D22" s="2" t="n">
        <f aca="false">(D16+D11)*Inputs!D66</f>
        <v>11836.9565217391</v>
      </c>
      <c r="E22" s="2" t="n">
        <f aca="false">(E16+E11)*Inputs!E66</f>
        <v>10835.7446808511</v>
      </c>
      <c r="F22" s="2" t="n">
        <f aca="false">D22/Inputs!$D$4</f>
        <v>91.1306222321898</v>
      </c>
    </row>
    <row r="23" customFormat="false" ht="15" hidden="false" customHeight="false" outlineLevel="0" collapsed="false">
      <c r="A23" s="0" t="s">
        <v>606</v>
      </c>
      <c r="B23" s="0" t="s">
        <v>26</v>
      </c>
      <c r="C23" s="2" t="n">
        <f aca="false">C7/30*Inputs!C64</f>
        <v>17600</v>
      </c>
      <c r="D23" s="2" t="n">
        <f aca="false">D7/30*Inputs!D64</f>
        <v>24250</v>
      </c>
      <c r="E23" s="2" t="n">
        <f aca="false">E7/30*Inputs!E64</f>
        <v>29250</v>
      </c>
      <c r="F23" s="2" t="n">
        <f aca="false">D23/Inputs!$D$4</f>
        <v>186.696435445377</v>
      </c>
    </row>
    <row r="24" customFormat="false" ht="15" hidden="false" customHeight="false" outlineLevel="0" collapsed="false">
      <c r="A24" s="0" t="s">
        <v>607</v>
      </c>
      <c r="B24" s="0" t="s">
        <v>26</v>
      </c>
      <c r="C24" s="2" t="n">
        <f aca="false">C8*Inputs!C63+(C10+C13)*Inputs!C65</f>
        <v>27279.6</v>
      </c>
      <c r="D24" s="2" t="n">
        <f aca="false">D8*Inputs!D63+(D10+D13)*Inputs!D65</f>
        <v>31495</v>
      </c>
      <c r="E24" s="2" t="n">
        <f aca="false">E8*Inputs!E63+(E10+E13)*Inputs!E65</f>
        <v>31743.6</v>
      </c>
      <c r="F24" s="2" t="n">
        <f aca="false">D24/Inputs!$D$4</f>
        <v>242.474401416583</v>
      </c>
    </row>
    <row r="25" customFormat="false" ht="15" hidden="false" customHeight="false" outlineLevel="0" collapsed="false">
      <c r="A25" s="1" t="s">
        <v>569</v>
      </c>
      <c r="B25" s="6" t="s">
        <v>26</v>
      </c>
      <c r="C25" s="7" t="n">
        <f aca="false">C17+C18+C19+C20+C21+C22+C23+C24</f>
        <v>1024276.42539683</v>
      </c>
      <c r="D25" s="7" t="n">
        <f aca="false">D17+D18+D19+D20+D21+D22+D23+D24</f>
        <v>810330.49689441</v>
      </c>
      <c r="E25" s="7" t="n">
        <f aca="false">E17+E18+E19+E20+E21+E22+E23+E24</f>
        <v>668473.387234043</v>
      </c>
      <c r="F25" s="2" t="n">
        <f aca="false">D25/Inputs!$D$4</f>
        <v>6238.59032176773</v>
      </c>
    </row>
    <row r="26" customFormat="false" ht="15" hidden="false" customHeight="false" outlineLevel="0" collapsed="false">
      <c r="A26" s="1" t="s">
        <v>28</v>
      </c>
      <c r="B26" s="6" t="s">
        <v>26</v>
      </c>
      <c r="C26" s="7" t="n">
        <f aca="false">C14-C25</f>
        <v>-427996.425396825</v>
      </c>
      <c r="D26" s="7" t="n">
        <f aca="false">D14-D25</f>
        <v>86169.5031055901</v>
      </c>
      <c r="E26" s="7" t="n">
        <f aca="false">E14-E25</f>
        <v>600246.612765958</v>
      </c>
      <c r="F26" s="2" t="n">
        <f aca="false">D26/Inputs!$D$4</f>
        <v>663.403673151052</v>
      </c>
    </row>
    <row r="27" customFormat="false" ht="15" hidden="false" customHeight="false" outlineLevel="0" collapsed="false">
      <c r="A27" s="0" t="s">
        <v>608</v>
      </c>
      <c r="B27" s="0" t="s">
        <v>105</v>
      </c>
      <c r="C27" s="2" t="n">
        <f aca="false">C26/C4</f>
        <v>-855.99285079365</v>
      </c>
      <c r="D27" s="2" t="n">
        <f aca="false">D26/D4</f>
        <v>172.33900621118</v>
      </c>
      <c r="E27" s="2" t="n">
        <f aca="false">E26/E4</f>
        <v>1200.49322553192</v>
      </c>
    </row>
    <row r="28" customFormat="false" ht="15" hidden="false" customHeight="false" outlineLevel="0" collapsed="false">
      <c r="A28" s="0" t="s">
        <v>609</v>
      </c>
      <c r="B28" s="0" t="s">
        <v>105</v>
      </c>
      <c r="C28" s="2" t="n">
        <f aca="false">Inputs!C71*(1-Inputs!C72)*(Inputs!C73*(1-Inputs!C63)-Inputs!C64/30)+Inputs!C76*Inputs!C77*(1-Inputs!C65)-(Inputs!C76+Inputs!C78)/(1-Inputs!C79)*(Inputs!C87+Inputs!C66+Inputs!C88+Inputs!C80*(1-Inputs!C85)*Inputs!C62/70)-Inputs!C74/1000*365*(1-Inputs!C75)*Inputs!C61/70-Inputs!C81</f>
        <v>-1488.47212698413</v>
      </c>
      <c r="D28" s="2" t="n">
        <f aca="false">Inputs!D71*(1-Inputs!D72)*(Inputs!D73*(1-Inputs!D63)-Inputs!D64/30)+Inputs!D76*Inputs!D77*(1-Inputs!D65)-(Inputs!D76+Inputs!D78)/(1-Inputs!D79)*(Inputs!D87+Inputs!D66+Inputs!D88+Inputs!D80*(1-Inputs!D85)*Inputs!D62/70)-Inputs!D74/1000*365*(1-Inputs!D75)*Inputs!D61/70-Inputs!D81</f>
        <v>243.04751552795</v>
      </c>
      <c r="E28" s="2" t="n">
        <f aca="false">Inputs!E71*(1-Inputs!E72)*(Inputs!E73*(1-Inputs!E63)-Inputs!E64/30)+Inputs!E76*Inputs!E77*(1-Inputs!E65)-(Inputs!E76+Inputs!E78)/(1-Inputs!E79)*(Inputs!E87+Inputs!E66+Inputs!E88+Inputs!E80*(1-Inputs!E85)*Inputs!E62/70)-Inputs!E74/1000*365*(1-Inputs!E75)*Inputs!E61/70-Inputs!E81</f>
        <v>1814.22820668693</v>
      </c>
    </row>
    <row r="29" customFormat="false" ht="15" hidden="false" customHeight="false" outlineLevel="0" collapsed="false">
      <c r="A29" s="0" t="s">
        <v>610</v>
      </c>
      <c r="B29" s="0" t="s">
        <v>105</v>
      </c>
      <c r="C29" s="2" t="n">
        <f aca="false">Inputs!C82*((1-Inputs!C83)*Inputs!C86*(1-Inputs!C65)-Inputs!C87-Inputs!C66-Inputs!C88-Inputs!C84*(1-Inputs!C85)*Inputs!C62/70)</f>
        <v>-434.34</v>
      </c>
      <c r="D29" s="2" t="n">
        <f aca="false">Inputs!D82*((1-Inputs!D83)*Inputs!D86*(1-Inputs!D65)-Inputs!D87-Inputs!D66-Inputs!D88-Inputs!D84*(1-Inputs!D85)*Inputs!D62/70)</f>
        <v>125.2</v>
      </c>
      <c r="E29" s="2" t="n">
        <f aca="false">Inputs!E82*((1-Inputs!E83)*Inputs!E86*(1-Inputs!E65)-Inputs!E87-Inputs!E66-Inputs!E88-Inputs!E84*(1-Inputs!E85)*Inputs!E62/70)</f>
        <v>791.336571428571</v>
      </c>
    </row>
    <row r="30" customFormat="false" ht="15" hidden="false" customHeight="false" outlineLevel="0" collapsed="false">
      <c r="A30" s="0" t="s">
        <v>611</v>
      </c>
      <c r="B30" s="0" t="s">
        <v>26</v>
      </c>
      <c r="C30" s="2" t="n">
        <f aca="false">C26-(C5*C28+C6*C29)</f>
        <v>0</v>
      </c>
      <c r="D30" s="2" t="n">
        <f aca="false">D26-(D5*D28+D6*D29)</f>
        <v>0</v>
      </c>
      <c r="E30" s="2" t="n">
        <f aca="false">E26-(E5*E28+E6*E29)</f>
        <v>0</v>
      </c>
      <c r="F30" s="2" t="n">
        <f aca="false">D30/Inputs!$D$4</f>
        <v>0</v>
      </c>
    </row>
    <row r="31" customFormat="false" ht="15" hidden="false" customHeight="false" outlineLevel="0" collapsed="false">
      <c r="A31" s="0" t="s">
        <v>573</v>
      </c>
      <c r="B31" s="0" t="s">
        <v>26</v>
      </c>
      <c r="C31" s="2" t="n">
        <f aca="false">Inputs!C69*Inputs!C89</f>
        <v>250000</v>
      </c>
      <c r="D31" s="2" t="n">
        <f aca="false">Inputs!D69*Inputs!D89</f>
        <v>250000</v>
      </c>
      <c r="E31" s="2" t="n">
        <f aca="false">Inputs!E69*Inputs!E89</f>
        <v>250000</v>
      </c>
      <c r="F31" s="2" t="n">
        <f aca="false">D31/Inputs!$D$4</f>
        <v>1924.70552005543</v>
      </c>
    </row>
    <row r="32" customFormat="false" ht="15" hidden="false" customHeight="false" outlineLevel="0" collapsed="false">
      <c r="A32" s="0" t="s">
        <v>583</v>
      </c>
      <c r="B32" s="0" t="s">
        <v>26</v>
      </c>
      <c r="C32" s="2" t="n">
        <f aca="false">C18+C19+C20</f>
        <v>793085.714285714</v>
      </c>
      <c r="D32" s="2" t="n">
        <f aca="false">D18+D19+D20</f>
        <v>596487.670807453</v>
      </c>
      <c r="E32" s="2" t="n">
        <f aca="false">E18+E19+E20</f>
        <v>463256.808510638</v>
      </c>
      <c r="F32" s="2" t="n">
        <f aca="false">D32/Inputs!$D$4</f>
        <v>4592.25245059245</v>
      </c>
    </row>
    <row r="33" customFormat="false" ht="15" hidden="false" customHeight="false" outlineLevel="0" collapsed="false">
      <c r="A33" s="4" t="s">
        <v>50</v>
      </c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0" t="s">
        <v>62</v>
      </c>
      <c r="B34" s="0" t="s">
        <v>63</v>
      </c>
      <c r="C34" s="2" t="n">
        <f aca="false">Inputs!C91</f>
        <v>500</v>
      </c>
      <c r="D34" s="2" t="n">
        <f aca="false">Inputs!D91</f>
        <v>500</v>
      </c>
      <c r="E34" s="2" t="n">
        <f aca="false">Inputs!E91</f>
        <v>500</v>
      </c>
    </row>
    <row r="35" customFormat="false" ht="15" hidden="false" customHeight="false" outlineLevel="0" collapsed="false">
      <c r="A35" s="0" t="s">
        <v>588</v>
      </c>
      <c r="B35" s="0" t="s">
        <v>63</v>
      </c>
      <c r="C35" s="2" t="n">
        <f aca="false">Inputs!C91*Inputs!C92</f>
        <v>200</v>
      </c>
      <c r="D35" s="2" t="n">
        <f aca="false">Inputs!D91*Inputs!D92</f>
        <v>200</v>
      </c>
      <c r="E35" s="2" t="n">
        <f aca="false">Inputs!E91*Inputs!E92</f>
        <v>200</v>
      </c>
    </row>
    <row r="36" customFormat="false" ht="15" hidden="false" customHeight="false" outlineLevel="0" collapsed="false">
      <c r="A36" s="0" t="s">
        <v>589</v>
      </c>
      <c r="B36" s="0" t="s">
        <v>63</v>
      </c>
      <c r="C36" s="2" t="n">
        <f aca="false">Inputs!C91-C35</f>
        <v>300</v>
      </c>
      <c r="D36" s="2" t="n">
        <f aca="false">Inputs!D91-D35</f>
        <v>300</v>
      </c>
      <c r="E36" s="2" t="n">
        <f aca="false">Inputs!E91-E35</f>
        <v>300</v>
      </c>
    </row>
    <row r="37" customFormat="false" ht="15" hidden="false" customHeight="false" outlineLevel="0" collapsed="false">
      <c r="A37" s="0" t="s">
        <v>590</v>
      </c>
      <c r="B37" s="0" t="s">
        <v>591</v>
      </c>
      <c r="C37" s="2" t="n">
        <f aca="false">C35*Inputs!C93*(1-Inputs!C94)</f>
        <v>21120</v>
      </c>
      <c r="D37" s="2" t="n">
        <f aca="false">D35*Inputs!D93*(1-Inputs!D94)</f>
        <v>29100</v>
      </c>
      <c r="E37" s="2" t="n">
        <f aca="false">E35*Inputs!E93*(1-Inputs!E94)</f>
        <v>35100</v>
      </c>
    </row>
    <row r="38" customFormat="false" ht="15" hidden="false" customHeight="false" outlineLevel="0" collapsed="false">
      <c r="A38" s="0" t="s">
        <v>592</v>
      </c>
      <c r="B38" s="0" t="s">
        <v>26</v>
      </c>
      <c r="C38" s="2" t="n">
        <f aca="false">C37*Inputs!C95</f>
        <v>253440</v>
      </c>
      <c r="D38" s="2" t="n">
        <f aca="false">D37*Inputs!D95</f>
        <v>436500</v>
      </c>
      <c r="E38" s="2" t="n">
        <f aca="false">E37*Inputs!E95</f>
        <v>631800</v>
      </c>
      <c r="F38" s="2" t="n">
        <f aca="false">D38/Inputs!$D$4</f>
        <v>3360.53583801678</v>
      </c>
    </row>
    <row r="39" customFormat="false" ht="15" hidden="false" customHeight="false" outlineLevel="0" collapsed="false">
      <c r="A39" s="0" t="s">
        <v>593</v>
      </c>
      <c r="B39" s="0" t="s">
        <v>63</v>
      </c>
      <c r="C39" s="2" t="n">
        <f aca="false">C35*Inputs!C98</f>
        <v>160</v>
      </c>
      <c r="D39" s="2" t="n">
        <f aca="false">D35*Inputs!D98</f>
        <v>160</v>
      </c>
      <c r="E39" s="2" t="n">
        <f aca="false">E35*Inputs!E98</f>
        <v>160</v>
      </c>
    </row>
    <row r="40" customFormat="false" ht="15" hidden="false" customHeight="false" outlineLevel="0" collapsed="false">
      <c r="A40" s="0" t="s">
        <v>594</v>
      </c>
      <c r="B40" s="0" t="s">
        <v>26</v>
      </c>
      <c r="C40" s="2" t="n">
        <f aca="false">C39*Inputs!C99</f>
        <v>48000</v>
      </c>
      <c r="D40" s="2" t="n">
        <f aca="false">D39*Inputs!D99</f>
        <v>64000</v>
      </c>
      <c r="E40" s="2" t="n">
        <f aca="false">E39*Inputs!E99</f>
        <v>80000</v>
      </c>
      <c r="F40" s="2" t="n">
        <f aca="false">D40/Inputs!$D$4</f>
        <v>492.724613134191</v>
      </c>
    </row>
    <row r="41" customFormat="false" ht="15" hidden="false" customHeight="false" outlineLevel="0" collapsed="false">
      <c r="A41" s="0" t="s">
        <v>595</v>
      </c>
      <c r="B41" s="0" t="s">
        <v>63</v>
      </c>
      <c r="C41" s="2" t="n">
        <f aca="false">C36*Inputs!C104</f>
        <v>540</v>
      </c>
      <c r="D41" s="2" t="n">
        <f aca="false">D36*Inputs!D104</f>
        <v>600</v>
      </c>
      <c r="E41" s="2" t="n">
        <f aca="false">E36*Inputs!E104</f>
        <v>720</v>
      </c>
    </row>
    <row r="42" customFormat="false" ht="15" hidden="false" customHeight="false" outlineLevel="0" collapsed="false">
      <c r="A42" s="0" t="s">
        <v>596</v>
      </c>
      <c r="B42" s="0" t="s">
        <v>63</v>
      </c>
      <c r="C42" s="2" t="n">
        <f aca="false">C41*(1-Inputs!C105)</f>
        <v>453.6</v>
      </c>
      <c r="D42" s="2" t="n">
        <f aca="false">D41*(1-Inputs!D105)</f>
        <v>528</v>
      </c>
      <c r="E42" s="2" t="n">
        <f aca="false">E41*(1-Inputs!E105)</f>
        <v>655.2</v>
      </c>
    </row>
    <row r="43" customFormat="false" ht="15" hidden="false" customHeight="false" outlineLevel="0" collapsed="false">
      <c r="A43" s="0" t="s">
        <v>597</v>
      </c>
      <c r="B43" s="0" t="s">
        <v>26</v>
      </c>
      <c r="C43" s="2" t="n">
        <f aca="false">C42*Inputs!C108</f>
        <v>294840</v>
      </c>
      <c r="D43" s="2" t="n">
        <f aca="false">D42*Inputs!D108</f>
        <v>396000</v>
      </c>
      <c r="E43" s="2" t="n">
        <f aca="false">E42*Inputs!E108</f>
        <v>556920</v>
      </c>
      <c r="F43" s="2" t="n">
        <f aca="false">D43/Inputs!$D$4</f>
        <v>3048.7335437678</v>
      </c>
    </row>
    <row r="44" customFormat="false" ht="15" hidden="false" customHeight="false" outlineLevel="0" collapsed="false">
      <c r="A44" s="1" t="s">
        <v>562</v>
      </c>
      <c r="B44" s="6" t="s">
        <v>26</v>
      </c>
      <c r="C44" s="7" t="n">
        <f aca="false">C38+C40+C43</f>
        <v>596280</v>
      </c>
      <c r="D44" s="7" t="n">
        <f aca="false">D38+D40+D43</f>
        <v>896500</v>
      </c>
      <c r="E44" s="7" t="n">
        <f aca="false">E38+E40+E43</f>
        <v>1268720</v>
      </c>
      <c r="F44" s="2" t="n">
        <f aca="false">D44/Inputs!$D$4</f>
        <v>6901.99399491878</v>
      </c>
    </row>
    <row r="45" customFormat="false" ht="15" hidden="false" customHeight="false" outlineLevel="0" collapsed="false">
      <c r="A45" s="0" t="s">
        <v>598</v>
      </c>
      <c r="B45" s="0" t="s">
        <v>63</v>
      </c>
      <c r="C45" s="2" t="n">
        <f aca="false">C35*(Inputs!C98+Inputs!C100)</f>
        <v>178</v>
      </c>
      <c r="D45" s="2" t="n">
        <f aca="false">D35*(Inputs!D98+Inputs!D100)</f>
        <v>174</v>
      </c>
      <c r="E45" s="2" t="n">
        <f aca="false">E35*(Inputs!E98+Inputs!E100)</f>
        <v>172</v>
      </c>
    </row>
    <row r="46" customFormat="false" ht="15" hidden="false" customHeight="false" outlineLevel="0" collapsed="false">
      <c r="A46" s="0" t="s">
        <v>599</v>
      </c>
      <c r="B46" s="0" t="s">
        <v>63</v>
      </c>
      <c r="C46" s="2" t="n">
        <f aca="false">C45/(1-Inputs!C101)</f>
        <v>197.777777777778</v>
      </c>
      <c r="D46" s="2" t="n">
        <f aca="false">D45/(1-Inputs!D101)</f>
        <v>189.130434782609</v>
      </c>
      <c r="E46" s="2" t="n">
        <f aca="false">E45/(1-Inputs!E101)</f>
        <v>182.978723404255</v>
      </c>
    </row>
    <row r="47" customFormat="false" ht="15" hidden="false" customHeight="false" outlineLevel="0" collapsed="false">
      <c r="A47" s="0" t="s">
        <v>600</v>
      </c>
      <c r="B47" s="0" t="s">
        <v>26</v>
      </c>
      <c r="C47" s="2" t="n">
        <f aca="false">(C46+C41)*Inputs!C109</f>
        <v>103288.888888889</v>
      </c>
      <c r="D47" s="2" t="n">
        <f aca="false">(D46+D41)*Inputs!D109</f>
        <v>94695.6521739131</v>
      </c>
      <c r="E47" s="2" t="n">
        <f aca="false">(E46+E41)*Inputs!E109</f>
        <v>90297.8723404255</v>
      </c>
      <c r="F47" s="2" t="n">
        <f aca="false">D47/Inputs!$D$4</f>
        <v>729.044977857518</v>
      </c>
    </row>
    <row r="48" customFormat="false" ht="15" hidden="false" customHeight="false" outlineLevel="0" collapsed="false">
      <c r="A48" s="0" t="s">
        <v>601</v>
      </c>
      <c r="B48" s="0" t="s">
        <v>26</v>
      </c>
      <c r="C48" s="2" t="n">
        <f aca="false">C35*Inputs!C96/1000*365*(1-Inputs!C97)*Inputs!C61/70</f>
        <v>403585.714285714</v>
      </c>
      <c r="D48" s="2" t="n">
        <f aca="false">D35*Inputs!D96/1000*365*(1-Inputs!D97)*Inputs!D61/70</f>
        <v>290800.714285714</v>
      </c>
      <c r="E48" s="2" t="n">
        <f aca="false">E35*Inputs!E96/1000*365*(1-Inputs!E97)*Inputs!E61/70</f>
        <v>216810</v>
      </c>
      <c r="F48" s="2" t="n">
        <f aca="false">D48/Inputs!$D$4</f>
        <v>2238.82296008711</v>
      </c>
    </row>
    <row r="49" customFormat="false" ht="15" hidden="false" customHeight="false" outlineLevel="0" collapsed="false">
      <c r="A49" s="0" t="s">
        <v>602</v>
      </c>
      <c r="B49" s="0" t="s">
        <v>26</v>
      </c>
      <c r="C49" s="2" t="n">
        <f aca="false">C46*Inputs!C102*(1-Inputs!C107)*Inputs!C62/70</f>
        <v>97900</v>
      </c>
      <c r="D49" s="2" t="n">
        <f aca="false">D46*Inputs!D102*(1-Inputs!D107)*Inputs!D62/70</f>
        <v>68086.9565217391</v>
      </c>
      <c r="E49" s="2" t="n">
        <f aca="false">E46*Inputs!E102*(1-Inputs!E107)*Inputs!E62/70</f>
        <v>45875.3799392097</v>
      </c>
      <c r="F49" s="2" t="n">
        <f aca="false">D49/Inputs!$D$4</f>
        <v>524.189364244662</v>
      </c>
    </row>
    <row r="50" customFormat="false" ht="15" hidden="false" customHeight="false" outlineLevel="0" collapsed="false">
      <c r="A50" s="0" t="s">
        <v>603</v>
      </c>
      <c r="B50" s="0" t="s">
        <v>26</v>
      </c>
      <c r="C50" s="2" t="n">
        <f aca="false">C41*Inputs!C106*(1-Inputs!C107)*Inputs!C62/70</f>
        <v>291600</v>
      </c>
      <c r="D50" s="2" t="n">
        <f aca="false">D41*Inputs!D106*(1-Inputs!D107)*Inputs!D62/70</f>
        <v>237600</v>
      </c>
      <c r="E50" s="2" t="n">
        <f aca="false">E41*Inputs!E106*(1-Inputs!E107)*Inputs!E62/70</f>
        <v>200571.428571429</v>
      </c>
      <c r="F50" s="2" t="n">
        <f aca="false">D50/Inputs!$D$4</f>
        <v>1829.24012626068</v>
      </c>
    </row>
    <row r="51" customFormat="false" ht="15" hidden="false" customHeight="false" outlineLevel="0" collapsed="false">
      <c r="A51" s="0" t="s">
        <v>604</v>
      </c>
      <c r="B51" s="0" t="s">
        <v>26</v>
      </c>
      <c r="C51" s="2" t="n">
        <f aca="false">C35*Inputs!C103+(C46+C41)*Inputs!C110</f>
        <v>68266.6666666667</v>
      </c>
      <c r="D51" s="2" t="n">
        <f aca="false">D35*Inputs!D103+(D46+D41)*Inputs!D110</f>
        <v>51565.2173913044</v>
      </c>
      <c r="E51" s="2" t="n">
        <f aca="false">E35*Inputs!E103+(E46+E41)*Inputs!E110</f>
        <v>43089.3617021277</v>
      </c>
      <c r="F51" s="2" t="n">
        <f aca="false">D51/Inputs!$D$4</f>
        <v>396.991434223607</v>
      </c>
    </row>
    <row r="52" customFormat="false" ht="15" hidden="false" customHeight="false" outlineLevel="0" collapsed="false">
      <c r="A52" s="0" t="s">
        <v>605</v>
      </c>
      <c r="B52" s="0" t="s">
        <v>26</v>
      </c>
      <c r="C52" s="2" t="n">
        <f aca="false">(C46+C41)*Inputs!C66</f>
        <v>14755.5555555556</v>
      </c>
      <c r="D52" s="2" t="n">
        <f aca="false">(D46+D41)*Inputs!D66</f>
        <v>11836.9565217391</v>
      </c>
      <c r="E52" s="2" t="n">
        <f aca="false">(E46+E41)*Inputs!E66</f>
        <v>10835.7446808511</v>
      </c>
      <c r="F52" s="2" t="n">
        <f aca="false">D52/Inputs!$D$4</f>
        <v>91.1306222321898</v>
      </c>
    </row>
    <row r="53" customFormat="false" ht="15" hidden="false" customHeight="false" outlineLevel="0" collapsed="false">
      <c r="A53" s="0" t="s">
        <v>606</v>
      </c>
      <c r="B53" s="0" t="s">
        <v>26</v>
      </c>
      <c r="C53" s="2" t="n">
        <f aca="false">C37/30*Inputs!C64</f>
        <v>17600</v>
      </c>
      <c r="D53" s="2" t="n">
        <f aca="false">D37/30*Inputs!D64</f>
        <v>24250</v>
      </c>
      <c r="E53" s="2" t="n">
        <f aca="false">E37/30*Inputs!E64</f>
        <v>29250</v>
      </c>
      <c r="F53" s="2" t="n">
        <f aca="false">D53/Inputs!$D$4</f>
        <v>186.696435445377</v>
      </c>
    </row>
    <row r="54" customFormat="false" ht="15" hidden="false" customHeight="false" outlineLevel="0" collapsed="false">
      <c r="A54" s="0" t="s">
        <v>607</v>
      </c>
      <c r="B54" s="0" t="s">
        <v>26</v>
      </c>
      <c r="C54" s="2" t="n">
        <f aca="false">C38*Inputs!C63+(C40+C43)*Inputs!C65</f>
        <v>27279.6</v>
      </c>
      <c r="D54" s="2" t="n">
        <f aca="false">D38*Inputs!D63+(D40+D43)*Inputs!D65</f>
        <v>31495</v>
      </c>
      <c r="E54" s="2" t="n">
        <f aca="false">E38*Inputs!E63+(E40+E43)*Inputs!E65</f>
        <v>31743.6</v>
      </c>
      <c r="F54" s="2" t="n">
        <f aca="false">D54/Inputs!$D$4</f>
        <v>242.474401416583</v>
      </c>
    </row>
    <row r="55" customFormat="false" ht="15" hidden="false" customHeight="false" outlineLevel="0" collapsed="false">
      <c r="A55" s="1" t="s">
        <v>569</v>
      </c>
      <c r="B55" s="6" t="s">
        <v>26</v>
      </c>
      <c r="C55" s="7" t="n">
        <f aca="false">C47+C48+C49+C50+C51+C52+C53+C54</f>
        <v>1024276.42539683</v>
      </c>
      <c r="D55" s="7" t="n">
        <f aca="false">D47+D48+D49+D50+D51+D52+D53+D54</f>
        <v>810330.49689441</v>
      </c>
      <c r="E55" s="7" t="n">
        <f aca="false">E47+E48+E49+E50+E51+E52+E53+E54</f>
        <v>668473.387234043</v>
      </c>
      <c r="F55" s="2" t="n">
        <f aca="false">D55/Inputs!$D$4</f>
        <v>6238.59032176773</v>
      </c>
    </row>
    <row r="56" customFormat="false" ht="15" hidden="false" customHeight="false" outlineLevel="0" collapsed="false">
      <c r="A56" s="1" t="s">
        <v>28</v>
      </c>
      <c r="B56" s="6" t="s">
        <v>26</v>
      </c>
      <c r="C56" s="7" t="n">
        <f aca="false">C44-C55</f>
        <v>-427996.425396825</v>
      </c>
      <c r="D56" s="7" t="n">
        <f aca="false">D44-D55</f>
        <v>86169.5031055901</v>
      </c>
      <c r="E56" s="7" t="n">
        <f aca="false">E44-E55</f>
        <v>600246.612765958</v>
      </c>
      <c r="F56" s="2" t="n">
        <f aca="false">D56/Inputs!$D$4</f>
        <v>663.403673151052</v>
      </c>
    </row>
    <row r="57" customFormat="false" ht="15" hidden="false" customHeight="false" outlineLevel="0" collapsed="false">
      <c r="A57" s="0" t="s">
        <v>608</v>
      </c>
      <c r="B57" s="0" t="s">
        <v>105</v>
      </c>
      <c r="C57" s="2" t="n">
        <f aca="false">C56/C34</f>
        <v>-855.99285079365</v>
      </c>
      <c r="D57" s="2" t="n">
        <f aca="false">D56/D34</f>
        <v>172.33900621118</v>
      </c>
      <c r="E57" s="2" t="n">
        <f aca="false">E56/E34</f>
        <v>1200.49322553192</v>
      </c>
    </row>
    <row r="58" customFormat="false" ht="15" hidden="false" customHeight="false" outlineLevel="0" collapsed="false">
      <c r="A58" s="0" t="s">
        <v>609</v>
      </c>
      <c r="B58" s="0" t="s">
        <v>105</v>
      </c>
      <c r="C58" s="2" t="n">
        <f aca="false">Inputs!C93*(1-Inputs!C94)*(Inputs!C95*(1-Inputs!C63)-Inputs!C64/30)+Inputs!C98*Inputs!C99*(1-Inputs!C65)-(Inputs!C98+Inputs!C100)/(1-Inputs!C101)*(Inputs!C109+Inputs!C66+Inputs!C110+Inputs!C102*(1-Inputs!C107)*Inputs!C62/70)-Inputs!C96/1000*365*(1-Inputs!C97)*Inputs!C61/70-Inputs!C103</f>
        <v>-1488.47212698413</v>
      </c>
      <c r="D58" s="2" t="n">
        <f aca="false">Inputs!D93*(1-Inputs!D94)*(Inputs!D95*(1-Inputs!D63)-Inputs!D64/30)+Inputs!D98*Inputs!D99*(1-Inputs!D65)-(Inputs!D98+Inputs!D100)/(1-Inputs!D101)*(Inputs!D109+Inputs!D66+Inputs!D110+Inputs!D102*(1-Inputs!D107)*Inputs!D62/70)-Inputs!D96/1000*365*(1-Inputs!D97)*Inputs!D61/70-Inputs!D103</f>
        <v>243.04751552795</v>
      </c>
      <c r="E58" s="2" t="n">
        <f aca="false">Inputs!E93*(1-Inputs!E94)*(Inputs!E95*(1-Inputs!E63)-Inputs!E64/30)+Inputs!E98*Inputs!E99*(1-Inputs!E65)-(Inputs!E98+Inputs!E100)/(1-Inputs!E101)*(Inputs!E109+Inputs!E66+Inputs!E110+Inputs!E102*(1-Inputs!E107)*Inputs!E62/70)-Inputs!E96/1000*365*(1-Inputs!E97)*Inputs!E61/70-Inputs!E103</f>
        <v>1814.22820668693</v>
      </c>
    </row>
    <row r="59" customFormat="false" ht="15" hidden="false" customHeight="false" outlineLevel="0" collapsed="false">
      <c r="A59" s="0" t="s">
        <v>610</v>
      </c>
      <c r="B59" s="0" t="s">
        <v>105</v>
      </c>
      <c r="C59" s="2" t="n">
        <f aca="false">Inputs!C104*((1-Inputs!C105)*Inputs!C108*(1-Inputs!C65)-Inputs!C109-Inputs!C66-Inputs!C110-Inputs!C106*(1-Inputs!C107)*Inputs!C62/70)</f>
        <v>-434.34</v>
      </c>
      <c r="D59" s="2" t="n">
        <f aca="false">Inputs!D104*((1-Inputs!D105)*Inputs!D108*(1-Inputs!D65)-Inputs!D109-Inputs!D66-Inputs!D110-Inputs!D106*(1-Inputs!D107)*Inputs!D62/70)</f>
        <v>125.2</v>
      </c>
      <c r="E59" s="2" t="n">
        <f aca="false">Inputs!E104*((1-Inputs!E105)*Inputs!E108*(1-Inputs!E65)-Inputs!E109-Inputs!E66-Inputs!E110-Inputs!E106*(1-Inputs!E107)*Inputs!E62/70)</f>
        <v>791.336571428571</v>
      </c>
    </row>
    <row r="60" customFormat="false" ht="15" hidden="false" customHeight="false" outlineLevel="0" collapsed="false">
      <c r="A60" s="0" t="s">
        <v>611</v>
      </c>
      <c r="B60" s="0" t="s">
        <v>26</v>
      </c>
      <c r="C60" s="2" t="n">
        <f aca="false">C56-(C35*C58+C36*C59)</f>
        <v>0</v>
      </c>
      <c r="D60" s="2" t="n">
        <f aca="false">D56-(D35*D58+D36*D59)</f>
        <v>0</v>
      </c>
      <c r="E60" s="2" t="n">
        <f aca="false">E56-(E35*E58+E36*E59)</f>
        <v>0</v>
      </c>
      <c r="F60" s="2" t="n">
        <f aca="false">D60/Inputs!$D$4</f>
        <v>0</v>
      </c>
    </row>
    <row r="61" customFormat="false" ht="15" hidden="false" customHeight="false" outlineLevel="0" collapsed="false">
      <c r="A61" s="0" t="s">
        <v>573</v>
      </c>
      <c r="B61" s="0" t="s">
        <v>26</v>
      </c>
      <c r="C61" s="2" t="n">
        <f aca="false">Inputs!C91*Inputs!C111</f>
        <v>250000</v>
      </c>
      <c r="D61" s="2" t="n">
        <f aca="false">Inputs!D91*Inputs!D111</f>
        <v>250000</v>
      </c>
      <c r="E61" s="2" t="n">
        <f aca="false">Inputs!E91*Inputs!E111</f>
        <v>250000</v>
      </c>
      <c r="F61" s="2" t="n">
        <f aca="false">D61/Inputs!$D$4</f>
        <v>1924.70552005543</v>
      </c>
    </row>
    <row r="62" customFormat="false" ht="15" hidden="false" customHeight="false" outlineLevel="0" collapsed="false">
      <c r="A62" s="0" t="s">
        <v>583</v>
      </c>
      <c r="B62" s="0" t="s">
        <v>26</v>
      </c>
      <c r="C62" s="2" t="n">
        <f aca="false">C48+C49+C50</f>
        <v>793085.714285714</v>
      </c>
      <c r="D62" s="2" t="n">
        <f aca="false">D48+D49+D50</f>
        <v>596487.670807453</v>
      </c>
      <c r="E62" s="2" t="n">
        <f aca="false">E48+E49+E50</f>
        <v>463256.808510638</v>
      </c>
      <c r="F62" s="2" t="n">
        <f aca="false">D62/Inputs!$D$4</f>
        <v>4592.25245059245</v>
      </c>
    </row>
    <row r="63" customFormat="false" ht="15" hidden="false" customHeight="false" outlineLevel="0" collapsed="false">
      <c r="A63" s="4" t="s">
        <v>51</v>
      </c>
      <c r="B63" s="5"/>
      <c r="C63" s="5"/>
      <c r="D63" s="5"/>
      <c r="E63" s="5"/>
      <c r="F63" s="5"/>
      <c r="G63" s="5"/>
    </row>
    <row r="64" customFormat="false" ht="15" hidden="false" customHeight="false" outlineLevel="0" collapsed="false">
      <c r="A64" s="0" t="s">
        <v>62</v>
      </c>
      <c r="B64" s="0" t="s">
        <v>63</v>
      </c>
      <c r="C64" s="2" t="n">
        <f aca="false">Inputs!C113</f>
        <v>500</v>
      </c>
      <c r="D64" s="2" t="n">
        <f aca="false">Inputs!D113</f>
        <v>500</v>
      </c>
      <c r="E64" s="2" t="n">
        <f aca="false">Inputs!E113</f>
        <v>500</v>
      </c>
    </row>
    <row r="65" customFormat="false" ht="15" hidden="false" customHeight="false" outlineLevel="0" collapsed="false">
      <c r="A65" s="0" t="s">
        <v>588</v>
      </c>
      <c r="B65" s="0" t="s">
        <v>63</v>
      </c>
      <c r="C65" s="2" t="n">
        <f aca="false">Inputs!C113*Inputs!C114</f>
        <v>200</v>
      </c>
      <c r="D65" s="2" t="n">
        <f aca="false">Inputs!D113*Inputs!D114</f>
        <v>200</v>
      </c>
      <c r="E65" s="2" t="n">
        <f aca="false">Inputs!E113*Inputs!E114</f>
        <v>200</v>
      </c>
    </row>
    <row r="66" customFormat="false" ht="15" hidden="false" customHeight="false" outlineLevel="0" collapsed="false">
      <c r="A66" s="0" t="s">
        <v>589</v>
      </c>
      <c r="B66" s="0" t="s">
        <v>63</v>
      </c>
      <c r="C66" s="2" t="n">
        <f aca="false">Inputs!C113-C65</f>
        <v>300</v>
      </c>
      <c r="D66" s="2" t="n">
        <f aca="false">Inputs!D113-D65</f>
        <v>300</v>
      </c>
      <c r="E66" s="2" t="n">
        <f aca="false">Inputs!E113-E65</f>
        <v>300</v>
      </c>
    </row>
    <row r="67" customFormat="false" ht="15" hidden="false" customHeight="false" outlineLevel="0" collapsed="false">
      <c r="A67" s="0" t="s">
        <v>590</v>
      </c>
      <c r="B67" s="0" t="s">
        <v>591</v>
      </c>
      <c r="C67" s="2" t="n">
        <f aca="false">C65*Inputs!C115*(1-Inputs!C116)</f>
        <v>21120</v>
      </c>
      <c r="D67" s="2" t="n">
        <f aca="false">D65*Inputs!D115*(1-Inputs!D116)</f>
        <v>29100</v>
      </c>
      <c r="E67" s="2" t="n">
        <f aca="false">E65*Inputs!E115*(1-Inputs!E116)</f>
        <v>35100</v>
      </c>
    </row>
    <row r="68" customFormat="false" ht="15" hidden="false" customHeight="false" outlineLevel="0" collapsed="false">
      <c r="A68" s="0" t="s">
        <v>592</v>
      </c>
      <c r="B68" s="0" t="s">
        <v>26</v>
      </c>
      <c r="C68" s="2" t="n">
        <f aca="false">C67*Inputs!C117</f>
        <v>253440</v>
      </c>
      <c r="D68" s="2" t="n">
        <f aca="false">D67*Inputs!D117</f>
        <v>436500</v>
      </c>
      <c r="E68" s="2" t="n">
        <f aca="false">E67*Inputs!E117</f>
        <v>631800</v>
      </c>
      <c r="F68" s="2" t="n">
        <f aca="false">D68/Inputs!$D$4</f>
        <v>3360.53583801678</v>
      </c>
    </row>
    <row r="69" customFormat="false" ht="15" hidden="false" customHeight="false" outlineLevel="0" collapsed="false">
      <c r="A69" s="0" t="s">
        <v>593</v>
      </c>
      <c r="B69" s="0" t="s">
        <v>63</v>
      </c>
      <c r="C69" s="2" t="n">
        <f aca="false">C65*Inputs!C120</f>
        <v>160</v>
      </c>
      <c r="D69" s="2" t="n">
        <f aca="false">D65*Inputs!D120</f>
        <v>160</v>
      </c>
      <c r="E69" s="2" t="n">
        <f aca="false">E65*Inputs!E120</f>
        <v>160</v>
      </c>
    </row>
    <row r="70" customFormat="false" ht="15" hidden="false" customHeight="false" outlineLevel="0" collapsed="false">
      <c r="A70" s="0" t="s">
        <v>594</v>
      </c>
      <c r="B70" s="0" t="s">
        <v>26</v>
      </c>
      <c r="C70" s="2" t="n">
        <f aca="false">C69*Inputs!C121</f>
        <v>48000</v>
      </c>
      <c r="D70" s="2" t="n">
        <f aca="false">D69*Inputs!D121</f>
        <v>64000</v>
      </c>
      <c r="E70" s="2" t="n">
        <f aca="false">E69*Inputs!E121</f>
        <v>80000</v>
      </c>
      <c r="F70" s="2" t="n">
        <f aca="false">D70/Inputs!$D$4</f>
        <v>492.724613134191</v>
      </c>
    </row>
    <row r="71" customFormat="false" ht="15" hidden="false" customHeight="false" outlineLevel="0" collapsed="false">
      <c r="A71" s="0" t="s">
        <v>595</v>
      </c>
      <c r="B71" s="0" t="s">
        <v>63</v>
      </c>
      <c r="C71" s="2" t="n">
        <f aca="false">C66*Inputs!C126</f>
        <v>540</v>
      </c>
      <c r="D71" s="2" t="n">
        <f aca="false">D66*Inputs!D126</f>
        <v>600</v>
      </c>
      <c r="E71" s="2" t="n">
        <f aca="false">E66*Inputs!E126</f>
        <v>720</v>
      </c>
    </row>
    <row r="72" customFormat="false" ht="15" hidden="false" customHeight="false" outlineLevel="0" collapsed="false">
      <c r="A72" s="0" t="s">
        <v>596</v>
      </c>
      <c r="B72" s="0" t="s">
        <v>63</v>
      </c>
      <c r="C72" s="2" t="n">
        <f aca="false">C71*(1-Inputs!C127)</f>
        <v>453.6</v>
      </c>
      <c r="D72" s="2" t="n">
        <f aca="false">D71*(1-Inputs!D127)</f>
        <v>528</v>
      </c>
      <c r="E72" s="2" t="n">
        <f aca="false">E71*(1-Inputs!E127)</f>
        <v>655.2</v>
      </c>
    </row>
    <row r="73" customFormat="false" ht="15" hidden="false" customHeight="false" outlineLevel="0" collapsed="false">
      <c r="A73" s="0" t="s">
        <v>597</v>
      </c>
      <c r="B73" s="0" t="s">
        <v>26</v>
      </c>
      <c r="C73" s="2" t="n">
        <f aca="false">C72*Inputs!C130</f>
        <v>294840</v>
      </c>
      <c r="D73" s="2" t="n">
        <f aca="false">D72*Inputs!D130</f>
        <v>396000</v>
      </c>
      <c r="E73" s="2" t="n">
        <f aca="false">E72*Inputs!E130</f>
        <v>556920</v>
      </c>
      <c r="F73" s="2" t="n">
        <f aca="false">D73/Inputs!$D$4</f>
        <v>3048.7335437678</v>
      </c>
    </row>
    <row r="74" customFormat="false" ht="15" hidden="false" customHeight="false" outlineLevel="0" collapsed="false">
      <c r="A74" s="1" t="s">
        <v>562</v>
      </c>
      <c r="B74" s="6" t="s">
        <v>26</v>
      </c>
      <c r="C74" s="7" t="n">
        <f aca="false">C68+C70+C73</f>
        <v>596280</v>
      </c>
      <c r="D74" s="7" t="n">
        <f aca="false">D68+D70+D73</f>
        <v>896500</v>
      </c>
      <c r="E74" s="7" t="n">
        <f aca="false">E68+E70+E73</f>
        <v>1268720</v>
      </c>
      <c r="F74" s="2" t="n">
        <f aca="false">D74/Inputs!$D$4</f>
        <v>6901.99399491878</v>
      </c>
    </row>
    <row r="75" customFormat="false" ht="15" hidden="false" customHeight="false" outlineLevel="0" collapsed="false">
      <c r="A75" s="0" t="s">
        <v>598</v>
      </c>
      <c r="B75" s="0" t="s">
        <v>63</v>
      </c>
      <c r="C75" s="2" t="n">
        <f aca="false">C65*(Inputs!C120+Inputs!C122)</f>
        <v>178</v>
      </c>
      <c r="D75" s="2" t="n">
        <f aca="false">D65*(Inputs!D120+Inputs!D122)</f>
        <v>174</v>
      </c>
      <c r="E75" s="2" t="n">
        <f aca="false">E65*(Inputs!E120+Inputs!E122)</f>
        <v>172</v>
      </c>
    </row>
    <row r="76" customFormat="false" ht="15" hidden="false" customHeight="false" outlineLevel="0" collapsed="false">
      <c r="A76" s="0" t="s">
        <v>599</v>
      </c>
      <c r="B76" s="0" t="s">
        <v>63</v>
      </c>
      <c r="C76" s="2" t="n">
        <f aca="false">C75/(1-Inputs!C123)</f>
        <v>197.777777777778</v>
      </c>
      <c r="D76" s="2" t="n">
        <f aca="false">D75/(1-Inputs!D123)</f>
        <v>189.130434782609</v>
      </c>
      <c r="E76" s="2" t="n">
        <f aca="false">E75/(1-Inputs!E123)</f>
        <v>182.978723404255</v>
      </c>
    </row>
    <row r="77" customFormat="false" ht="15" hidden="false" customHeight="false" outlineLevel="0" collapsed="false">
      <c r="A77" s="0" t="s">
        <v>600</v>
      </c>
      <c r="B77" s="0" t="s">
        <v>26</v>
      </c>
      <c r="C77" s="2" t="n">
        <f aca="false">(C76+C71)*Inputs!C131</f>
        <v>103288.888888889</v>
      </c>
      <c r="D77" s="2" t="n">
        <f aca="false">(D76+D71)*Inputs!D131</f>
        <v>94695.6521739131</v>
      </c>
      <c r="E77" s="2" t="n">
        <f aca="false">(E76+E71)*Inputs!E131</f>
        <v>90297.8723404255</v>
      </c>
      <c r="F77" s="2" t="n">
        <f aca="false">D77/Inputs!$D$4</f>
        <v>729.044977857518</v>
      </c>
    </row>
    <row r="78" customFormat="false" ht="15" hidden="false" customHeight="false" outlineLevel="0" collapsed="false">
      <c r="A78" s="0" t="s">
        <v>601</v>
      </c>
      <c r="B78" s="0" t="s">
        <v>26</v>
      </c>
      <c r="C78" s="2" t="n">
        <f aca="false">C65*Inputs!C118/1000*365*(1-Inputs!C119)*Inputs!C61/70</f>
        <v>403585.714285714</v>
      </c>
      <c r="D78" s="2" t="n">
        <f aca="false">D65*Inputs!D118/1000*365*(1-Inputs!D119)*Inputs!D61/70</f>
        <v>290800.714285714</v>
      </c>
      <c r="E78" s="2" t="n">
        <f aca="false">E65*Inputs!E118/1000*365*(1-Inputs!E119)*Inputs!E61/70</f>
        <v>216810</v>
      </c>
      <c r="F78" s="2" t="n">
        <f aca="false">D78/Inputs!$D$4</f>
        <v>2238.82296008711</v>
      </c>
    </row>
    <row r="79" customFormat="false" ht="15" hidden="false" customHeight="false" outlineLevel="0" collapsed="false">
      <c r="A79" s="0" t="s">
        <v>602</v>
      </c>
      <c r="B79" s="0" t="s">
        <v>26</v>
      </c>
      <c r="C79" s="2" t="n">
        <f aca="false">C76*Inputs!C124*(1-Inputs!C129)*Inputs!C62/70</f>
        <v>97900</v>
      </c>
      <c r="D79" s="2" t="n">
        <f aca="false">D76*Inputs!D124*(1-Inputs!D129)*Inputs!D62/70</f>
        <v>68086.9565217391</v>
      </c>
      <c r="E79" s="2" t="n">
        <f aca="false">E76*Inputs!E124*(1-Inputs!E129)*Inputs!E62/70</f>
        <v>45875.3799392097</v>
      </c>
      <c r="F79" s="2" t="n">
        <f aca="false">D79/Inputs!$D$4</f>
        <v>524.189364244662</v>
      </c>
    </row>
    <row r="80" customFormat="false" ht="15" hidden="false" customHeight="false" outlineLevel="0" collapsed="false">
      <c r="A80" s="0" t="s">
        <v>603</v>
      </c>
      <c r="B80" s="0" t="s">
        <v>26</v>
      </c>
      <c r="C80" s="2" t="n">
        <f aca="false">C71*Inputs!C128*(1-Inputs!C129)*Inputs!C62/70</f>
        <v>291600</v>
      </c>
      <c r="D80" s="2" t="n">
        <f aca="false">D71*Inputs!D128*(1-Inputs!D129)*Inputs!D62/70</f>
        <v>237600</v>
      </c>
      <c r="E80" s="2" t="n">
        <f aca="false">E71*Inputs!E128*(1-Inputs!E129)*Inputs!E62/70</f>
        <v>200571.428571429</v>
      </c>
      <c r="F80" s="2" t="n">
        <f aca="false">D80/Inputs!$D$4</f>
        <v>1829.24012626068</v>
      </c>
    </row>
    <row r="81" customFormat="false" ht="15" hidden="false" customHeight="false" outlineLevel="0" collapsed="false">
      <c r="A81" s="0" t="s">
        <v>604</v>
      </c>
      <c r="B81" s="0" t="s">
        <v>26</v>
      </c>
      <c r="C81" s="2" t="n">
        <f aca="false">C65*Inputs!C125+(C76+C71)*Inputs!C132</f>
        <v>68266.6666666667</v>
      </c>
      <c r="D81" s="2" t="n">
        <f aca="false">D65*Inputs!D125+(D76+D71)*Inputs!D132</f>
        <v>51565.2173913044</v>
      </c>
      <c r="E81" s="2" t="n">
        <f aca="false">E65*Inputs!E125+(E76+E71)*Inputs!E132</f>
        <v>43089.3617021277</v>
      </c>
      <c r="F81" s="2" t="n">
        <f aca="false">D81/Inputs!$D$4</f>
        <v>396.991434223607</v>
      </c>
    </row>
    <row r="82" customFormat="false" ht="15" hidden="false" customHeight="false" outlineLevel="0" collapsed="false">
      <c r="A82" s="0" t="s">
        <v>605</v>
      </c>
      <c r="B82" s="0" t="s">
        <v>26</v>
      </c>
      <c r="C82" s="2" t="n">
        <f aca="false">(C76+C71)*Inputs!C66</f>
        <v>14755.5555555556</v>
      </c>
      <c r="D82" s="2" t="n">
        <f aca="false">(D76+D71)*Inputs!D66</f>
        <v>11836.9565217391</v>
      </c>
      <c r="E82" s="2" t="n">
        <f aca="false">(E76+E71)*Inputs!E66</f>
        <v>10835.7446808511</v>
      </c>
      <c r="F82" s="2" t="n">
        <f aca="false">D82/Inputs!$D$4</f>
        <v>91.1306222321898</v>
      </c>
    </row>
    <row r="83" customFormat="false" ht="15" hidden="false" customHeight="false" outlineLevel="0" collapsed="false">
      <c r="A83" s="0" t="s">
        <v>606</v>
      </c>
      <c r="B83" s="0" t="s">
        <v>26</v>
      </c>
      <c r="C83" s="2" t="n">
        <f aca="false">C67/30*Inputs!C64</f>
        <v>17600</v>
      </c>
      <c r="D83" s="2" t="n">
        <f aca="false">D67/30*Inputs!D64</f>
        <v>24250</v>
      </c>
      <c r="E83" s="2" t="n">
        <f aca="false">E67/30*Inputs!E64</f>
        <v>29250</v>
      </c>
      <c r="F83" s="2" t="n">
        <f aca="false">D83/Inputs!$D$4</f>
        <v>186.696435445377</v>
      </c>
    </row>
    <row r="84" customFormat="false" ht="15" hidden="false" customHeight="false" outlineLevel="0" collapsed="false">
      <c r="A84" s="0" t="s">
        <v>607</v>
      </c>
      <c r="B84" s="0" t="s">
        <v>26</v>
      </c>
      <c r="C84" s="2" t="n">
        <f aca="false">C68*Inputs!C63+(C70+C73)*Inputs!C65</f>
        <v>27279.6</v>
      </c>
      <c r="D84" s="2" t="n">
        <f aca="false">D68*Inputs!D63+(D70+D73)*Inputs!D65</f>
        <v>31495</v>
      </c>
      <c r="E84" s="2" t="n">
        <f aca="false">E68*Inputs!E63+(E70+E73)*Inputs!E65</f>
        <v>31743.6</v>
      </c>
      <c r="F84" s="2" t="n">
        <f aca="false">D84/Inputs!$D$4</f>
        <v>242.474401416583</v>
      </c>
    </row>
    <row r="85" customFormat="false" ht="15" hidden="false" customHeight="false" outlineLevel="0" collapsed="false">
      <c r="A85" s="1" t="s">
        <v>569</v>
      </c>
      <c r="B85" s="6" t="s">
        <v>26</v>
      </c>
      <c r="C85" s="7" t="n">
        <f aca="false">C77+C78+C79+C80+C81+C82+C83+C84</f>
        <v>1024276.42539683</v>
      </c>
      <c r="D85" s="7" t="n">
        <f aca="false">D77+D78+D79+D80+D81+D82+D83+D84</f>
        <v>810330.49689441</v>
      </c>
      <c r="E85" s="7" t="n">
        <f aca="false">E77+E78+E79+E80+E81+E82+E83+E84</f>
        <v>668473.387234043</v>
      </c>
      <c r="F85" s="2" t="n">
        <f aca="false">D85/Inputs!$D$4</f>
        <v>6238.59032176773</v>
      </c>
    </row>
    <row r="86" customFormat="false" ht="15" hidden="false" customHeight="false" outlineLevel="0" collapsed="false">
      <c r="A86" s="1" t="s">
        <v>28</v>
      </c>
      <c r="B86" s="6" t="s">
        <v>26</v>
      </c>
      <c r="C86" s="7" t="n">
        <f aca="false">C74-C85</f>
        <v>-427996.425396825</v>
      </c>
      <c r="D86" s="7" t="n">
        <f aca="false">D74-D85</f>
        <v>86169.5031055901</v>
      </c>
      <c r="E86" s="7" t="n">
        <f aca="false">E74-E85</f>
        <v>600246.612765958</v>
      </c>
      <c r="F86" s="2" t="n">
        <f aca="false">D86/Inputs!$D$4</f>
        <v>663.403673151052</v>
      </c>
    </row>
    <row r="87" customFormat="false" ht="15" hidden="false" customHeight="false" outlineLevel="0" collapsed="false">
      <c r="A87" s="0" t="s">
        <v>608</v>
      </c>
      <c r="B87" s="0" t="s">
        <v>105</v>
      </c>
      <c r="C87" s="2" t="n">
        <f aca="false">C86/C64</f>
        <v>-855.99285079365</v>
      </c>
      <c r="D87" s="2" t="n">
        <f aca="false">D86/D64</f>
        <v>172.33900621118</v>
      </c>
      <c r="E87" s="2" t="n">
        <f aca="false">E86/E64</f>
        <v>1200.49322553192</v>
      </c>
    </row>
    <row r="88" customFormat="false" ht="15" hidden="false" customHeight="false" outlineLevel="0" collapsed="false">
      <c r="A88" s="0" t="s">
        <v>609</v>
      </c>
      <c r="B88" s="0" t="s">
        <v>105</v>
      </c>
      <c r="C88" s="2" t="n">
        <f aca="false">Inputs!C115*(1-Inputs!C116)*(Inputs!C117*(1-Inputs!C63)-Inputs!C64/30)+Inputs!C120*Inputs!C121*(1-Inputs!C65)-(Inputs!C120+Inputs!C122)/(1-Inputs!C123)*(Inputs!C131+Inputs!C66+Inputs!C132+Inputs!C124*(1-Inputs!C129)*Inputs!C62/70)-Inputs!C118/1000*365*(1-Inputs!C119)*Inputs!C61/70-Inputs!C125</f>
        <v>-1488.47212698413</v>
      </c>
      <c r="D88" s="2" t="n">
        <f aca="false">Inputs!D115*(1-Inputs!D116)*(Inputs!D117*(1-Inputs!D63)-Inputs!D64/30)+Inputs!D120*Inputs!D121*(1-Inputs!D65)-(Inputs!D120+Inputs!D122)/(1-Inputs!D123)*(Inputs!D131+Inputs!D66+Inputs!D132+Inputs!D124*(1-Inputs!D129)*Inputs!D62/70)-Inputs!D118/1000*365*(1-Inputs!D119)*Inputs!D61/70-Inputs!D125</f>
        <v>243.04751552795</v>
      </c>
      <c r="E88" s="2" t="n">
        <f aca="false">Inputs!E115*(1-Inputs!E116)*(Inputs!E117*(1-Inputs!E63)-Inputs!E64/30)+Inputs!E120*Inputs!E121*(1-Inputs!E65)-(Inputs!E120+Inputs!E122)/(1-Inputs!E123)*(Inputs!E131+Inputs!E66+Inputs!E132+Inputs!E124*(1-Inputs!E129)*Inputs!E62/70)-Inputs!E118/1000*365*(1-Inputs!E119)*Inputs!E61/70-Inputs!E125</f>
        <v>1814.22820668693</v>
      </c>
    </row>
    <row r="89" customFormat="false" ht="15" hidden="false" customHeight="false" outlineLevel="0" collapsed="false">
      <c r="A89" s="0" t="s">
        <v>610</v>
      </c>
      <c r="B89" s="0" t="s">
        <v>105</v>
      </c>
      <c r="C89" s="2" t="n">
        <f aca="false">Inputs!C126*((1-Inputs!C127)*Inputs!C130*(1-Inputs!C65)-Inputs!C131-Inputs!C66-Inputs!C132-Inputs!C128*(1-Inputs!C129)*Inputs!C62/70)</f>
        <v>-434.34</v>
      </c>
      <c r="D89" s="2" t="n">
        <f aca="false">Inputs!D126*((1-Inputs!D127)*Inputs!D130*(1-Inputs!D65)-Inputs!D131-Inputs!D66-Inputs!D132-Inputs!D128*(1-Inputs!D129)*Inputs!D62/70)</f>
        <v>125.2</v>
      </c>
      <c r="E89" s="2" t="n">
        <f aca="false">Inputs!E126*((1-Inputs!E127)*Inputs!E130*(1-Inputs!E65)-Inputs!E131-Inputs!E66-Inputs!E132-Inputs!E128*(1-Inputs!E129)*Inputs!E62/70)</f>
        <v>791.336571428571</v>
      </c>
    </row>
    <row r="90" customFormat="false" ht="15" hidden="false" customHeight="false" outlineLevel="0" collapsed="false">
      <c r="A90" s="0" t="s">
        <v>611</v>
      </c>
      <c r="B90" s="0" t="s">
        <v>26</v>
      </c>
      <c r="C90" s="2" t="n">
        <f aca="false">C86-(C65*C88+C66*C89)</f>
        <v>0</v>
      </c>
      <c r="D90" s="2" t="n">
        <f aca="false">D86-(D65*D88+D66*D89)</f>
        <v>0</v>
      </c>
      <c r="E90" s="2" t="n">
        <f aca="false">E86-(E65*E88+E66*E89)</f>
        <v>0</v>
      </c>
      <c r="F90" s="2" t="n">
        <f aca="false">D90/Inputs!$D$4</f>
        <v>0</v>
      </c>
    </row>
    <row r="91" customFormat="false" ht="15" hidden="false" customHeight="false" outlineLevel="0" collapsed="false">
      <c r="A91" s="0" t="s">
        <v>573</v>
      </c>
      <c r="B91" s="0" t="s">
        <v>26</v>
      </c>
      <c r="C91" s="2" t="n">
        <f aca="false">Inputs!C113*Inputs!C133</f>
        <v>250000</v>
      </c>
      <c r="D91" s="2" t="n">
        <f aca="false">Inputs!D113*Inputs!D133</f>
        <v>250000</v>
      </c>
      <c r="E91" s="2" t="n">
        <f aca="false">Inputs!E113*Inputs!E133</f>
        <v>250000</v>
      </c>
      <c r="F91" s="2" t="n">
        <f aca="false">D91/Inputs!$D$4</f>
        <v>1924.70552005543</v>
      </c>
    </row>
    <row r="92" customFormat="false" ht="15" hidden="false" customHeight="false" outlineLevel="0" collapsed="false">
      <c r="A92" s="0" t="s">
        <v>583</v>
      </c>
      <c r="B92" s="0" t="s">
        <v>26</v>
      </c>
      <c r="C92" s="2" t="n">
        <f aca="false">C78+C79+C80</f>
        <v>793085.714285714</v>
      </c>
      <c r="D92" s="2" t="n">
        <f aca="false">D78+D79+D80</f>
        <v>596487.670807453</v>
      </c>
      <c r="E92" s="2" t="n">
        <f aca="false">E78+E79+E80</f>
        <v>463256.808510638</v>
      </c>
      <c r="F92" s="2" t="n">
        <f aca="false">D92/Inputs!$D$4</f>
        <v>4592.25245059245</v>
      </c>
    </row>
    <row r="93" customFormat="false" ht="15" hidden="false" customHeight="false" outlineLevel="0" collapsed="false">
      <c r="A93" s="4" t="s">
        <v>52</v>
      </c>
      <c r="B93" s="5"/>
      <c r="C93" s="5"/>
      <c r="D93" s="5"/>
      <c r="E93" s="5"/>
      <c r="F93" s="5"/>
      <c r="G93" s="5"/>
    </row>
    <row r="94" customFormat="false" ht="15" hidden="false" customHeight="false" outlineLevel="0" collapsed="false">
      <c r="A94" s="0" t="s">
        <v>62</v>
      </c>
      <c r="B94" s="0" t="s">
        <v>63</v>
      </c>
      <c r="C94" s="2" t="n">
        <f aca="false">Inputs!C135</f>
        <v>500</v>
      </c>
      <c r="D94" s="2" t="n">
        <f aca="false">Inputs!D135</f>
        <v>500</v>
      </c>
      <c r="E94" s="2" t="n">
        <f aca="false">Inputs!E135</f>
        <v>500</v>
      </c>
    </row>
    <row r="95" customFormat="false" ht="15" hidden="false" customHeight="false" outlineLevel="0" collapsed="false">
      <c r="A95" s="0" t="s">
        <v>588</v>
      </c>
      <c r="B95" s="0" t="s">
        <v>63</v>
      </c>
      <c r="C95" s="2" t="n">
        <f aca="false">Inputs!C135*Inputs!C136</f>
        <v>200</v>
      </c>
      <c r="D95" s="2" t="n">
        <f aca="false">Inputs!D135*Inputs!D136</f>
        <v>200</v>
      </c>
      <c r="E95" s="2" t="n">
        <f aca="false">Inputs!E135*Inputs!E136</f>
        <v>200</v>
      </c>
    </row>
    <row r="96" customFormat="false" ht="15" hidden="false" customHeight="false" outlineLevel="0" collapsed="false">
      <c r="A96" s="0" t="s">
        <v>589</v>
      </c>
      <c r="B96" s="0" t="s">
        <v>63</v>
      </c>
      <c r="C96" s="2" t="n">
        <f aca="false">Inputs!C135-C95</f>
        <v>300</v>
      </c>
      <c r="D96" s="2" t="n">
        <f aca="false">Inputs!D135-D95</f>
        <v>300</v>
      </c>
      <c r="E96" s="2" t="n">
        <f aca="false">Inputs!E135-E95</f>
        <v>300</v>
      </c>
    </row>
    <row r="97" customFormat="false" ht="15" hidden="false" customHeight="false" outlineLevel="0" collapsed="false">
      <c r="A97" s="0" t="s">
        <v>590</v>
      </c>
      <c r="B97" s="0" t="s">
        <v>591</v>
      </c>
      <c r="C97" s="2" t="n">
        <f aca="false">C95*Inputs!C137*(1-Inputs!C138)</f>
        <v>21120</v>
      </c>
      <c r="D97" s="2" t="n">
        <f aca="false">D95*Inputs!D137*(1-Inputs!D138)</f>
        <v>29100</v>
      </c>
      <c r="E97" s="2" t="n">
        <f aca="false">E95*Inputs!E137*(1-Inputs!E138)</f>
        <v>35100</v>
      </c>
    </row>
    <row r="98" customFormat="false" ht="15" hidden="false" customHeight="false" outlineLevel="0" collapsed="false">
      <c r="A98" s="0" t="s">
        <v>592</v>
      </c>
      <c r="B98" s="0" t="s">
        <v>26</v>
      </c>
      <c r="C98" s="2" t="n">
        <f aca="false">C97*Inputs!C139</f>
        <v>253440</v>
      </c>
      <c r="D98" s="2" t="n">
        <f aca="false">D97*Inputs!D139</f>
        <v>436500</v>
      </c>
      <c r="E98" s="2" t="n">
        <f aca="false">E97*Inputs!E139</f>
        <v>631800</v>
      </c>
      <c r="F98" s="2" t="n">
        <f aca="false">D98/Inputs!$D$4</f>
        <v>3360.53583801678</v>
      </c>
    </row>
    <row r="99" customFormat="false" ht="15" hidden="false" customHeight="false" outlineLevel="0" collapsed="false">
      <c r="A99" s="0" t="s">
        <v>593</v>
      </c>
      <c r="B99" s="0" t="s">
        <v>63</v>
      </c>
      <c r="C99" s="2" t="n">
        <f aca="false">C95*Inputs!C142</f>
        <v>160</v>
      </c>
      <c r="D99" s="2" t="n">
        <f aca="false">D95*Inputs!D142</f>
        <v>160</v>
      </c>
      <c r="E99" s="2" t="n">
        <f aca="false">E95*Inputs!E142</f>
        <v>160</v>
      </c>
    </row>
    <row r="100" customFormat="false" ht="15" hidden="false" customHeight="false" outlineLevel="0" collapsed="false">
      <c r="A100" s="0" t="s">
        <v>594</v>
      </c>
      <c r="B100" s="0" t="s">
        <v>26</v>
      </c>
      <c r="C100" s="2" t="n">
        <f aca="false">C99*Inputs!C143</f>
        <v>48000</v>
      </c>
      <c r="D100" s="2" t="n">
        <f aca="false">D99*Inputs!D143</f>
        <v>64000</v>
      </c>
      <c r="E100" s="2" t="n">
        <f aca="false">E99*Inputs!E143</f>
        <v>80000</v>
      </c>
      <c r="F100" s="2" t="n">
        <f aca="false">D100/Inputs!$D$4</f>
        <v>492.724613134191</v>
      </c>
    </row>
    <row r="101" customFormat="false" ht="15" hidden="false" customHeight="false" outlineLevel="0" collapsed="false">
      <c r="A101" s="0" t="s">
        <v>595</v>
      </c>
      <c r="B101" s="0" t="s">
        <v>63</v>
      </c>
      <c r="C101" s="2" t="n">
        <f aca="false">C96*Inputs!C148</f>
        <v>540</v>
      </c>
      <c r="D101" s="2" t="n">
        <f aca="false">D96*Inputs!D148</f>
        <v>600</v>
      </c>
      <c r="E101" s="2" t="n">
        <f aca="false">E96*Inputs!E148</f>
        <v>720</v>
      </c>
    </row>
    <row r="102" customFormat="false" ht="15" hidden="false" customHeight="false" outlineLevel="0" collapsed="false">
      <c r="A102" s="0" t="s">
        <v>596</v>
      </c>
      <c r="B102" s="0" t="s">
        <v>63</v>
      </c>
      <c r="C102" s="2" t="n">
        <f aca="false">C101*(1-Inputs!C149)</f>
        <v>453.6</v>
      </c>
      <c r="D102" s="2" t="n">
        <f aca="false">D101*(1-Inputs!D149)</f>
        <v>528</v>
      </c>
      <c r="E102" s="2" t="n">
        <f aca="false">E101*(1-Inputs!E149)</f>
        <v>655.2</v>
      </c>
    </row>
    <row r="103" customFormat="false" ht="15" hidden="false" customHeight="false" outlineLevel="0" collapsed="false">
      <c r="A103" s="0" t="s">
        <v>597</v>
      </c>
      <c r="B103" s="0" t="s">
        <v>26</v>
      </c>
      <c r="C103" s="2" t="n">
        <f aca="false">C102*Inputs!C152</f>
        <v>294840</v>
      </c>
      <c r="D103" s="2" t="n">
        <f aca="false">D102*Inputs!D152</f>
        <v>396000</v>
      </c>
      <c r="E103" s="2" t="n">
        <f aca="false">E102*Inputs!E152</f>
        <v>556920</v>
      </c>
      <c r="F103" s="2" t="n">
        <f aca="false">D103/Inputs!$D$4</f>
        <v>3048.7335437678</v>
      </c>
    </row>
    <row r="104" customFormat="false" ht="15" hidden="false" customHeight="false" outlineLevel="0" collapsed="false">
      <c r="A104" s="1" t="s">
        <v>562</v>
      </c>
      <c r="B104" s="6" t="s">
        <v>26</v>
      </c>
      <c r="C104" s="7" t="n">
        <f aca="false">C98+C100+C103</f>
        <v>596280</v>
      </c>
      <c r="D104" s="7" t="n">
        <f aca="false">D98+D100+D103</f>
        <v>896500</v>
      </c>
      <c r="E104" s="7" t="n">
        <f aca="false">E98+E100+E103</f>
        <v>1268720</v>
      </c>
      <c r="F104" s="2" t="n">
        <f aca="false">D104/Inputs!$D$4</f>
        <v>6901.99399491878</v>
      </c>
    </row>
    <row r="105" customFormat="false" ht="15" hidden="false" customHeight="false" outlineLevel="0" collapsed="false">
      <c r="A105" s="0" t="s">
        <v>598</v>
      </c>
      <c r="B105" s="0" t="s">
        <v>63</v>
      </c>
      <c r="C105" s="2" t="n">
        <f aca="false">C95*(Inputs!C142+Inputs!C144)</f>
        <v>178</v>
      </c>
      <c r="D105" s="2" t="n">
        <f aca="false">D95*(Inputs!D142+Inputs!D144)</f>
        <v>174</v>
      </c>
      <c r="E105" s="2" t="n">
        <f aca="false">E95*(Inputs!E142+Inputs!E144)</f>
        <v>172</v>
      </c>
    </row>
    <row r="106" customFormat="false" ht="15" hidden="false" customHeight="false" outlineLevel="0" collapsed="false">
      <c r="A106" s="0" t="s">
        <v>599</v>
      </c>
      <c r="B106" s="0" t="s">
        <v>63</v>
      </c>
      <c r="C106" s="2" t="n">
        <f aca="false">C105/(1-Inputs!C145)</f>
        <v>197.777777777778</v>
      </c>
      <c r="D106" s="2" t="n">
        <f aca="false">D105/(1-Inputs!D145)</f>
        <v>189.130434782609</v>
      </c>
      <c r="E106" s="2" t="n">
        <f aca="false">E105/(1-Inputs!E145)</f>
        <v>182.978723404255</v>
      </c>
    </row>
    <row r="107" customFormat="false" ht="15" hidden="false" customHeight="false" outlineLevel="0" collapsed="false">
      <c r="A107" s="0" t="s">
        <v>600</v>
      </c>
      <c r="B107" s="0" t="s">
        <v>26</v>
      </c>
      <c r="C107" s="2" t="n">
        <f aca="false">(C106+C101)*Inputs!C153</f>
        <v>103288.888888889</v>
      </c>
      <c r="D107" s="2" t="n">
        <f aca="false">(D106+D101)*Inputs!D153</f>
        <v>94695.6521739131</v>
      </c>
      <c r="E107" s="2" t="n">
        <f aca="false">(E106+E101)*Inputs!E153</f>
        <v>90297.8723404255</v>
      </c>
      <c r="F107" s="2" t="n">
        <f aca="false">D107/Inputs!$D$4</f>
        <v>729.044977857518</v>
      </c>
    </row>
    <row r="108" customFormat="false" ht="15" hidden="false" customHeight="false" outlineLevel="0" collapsed="false">
      <c r="A108" s="0" t="s">
        <v>601</v>
      </c>
      <c r="B108" s="0" t="s">
        <v>26</v>
      </c>
      <c r="C108" s="2" t="n">
        <f aca="false">C95*Inputs!C140/1000*365*(1-Inputs!C141)*Inputs!C61/70</f>
        <v>403585.714285714</v>
      </c>
      <c r="D108" s="2" t="n">
        <f aca="false">D95*Inputs!D140/1000*365*(1-Inputs!D141)*Inputs!D61/70</f>
        <v>290800.714285714</v>
      </c>
      <c r="E108" s="2" t="n">
        <f aca="false">E95*Inputs!E140/1000*365*(1-Inputs!E141)*Inputs!E61/70</f>
        <v>216810</v>
      </c>
      <c r="F108" s="2" t="n">
        <f aca="false">D108/Inputs!$D$4</f>
        <v>2238.82296008711</v>
      </c>
    </row>
    <row r="109" customFormat="false" ht="15" hidden="false" customHeight="false" outlineLevel="0" collapsed="false">
      <c r="A109" s="0" t="s">
        <v>602</v>
      </c>
      <c r="B109" s="0" t="s">
        <v>26</v>
      </c>
      <c r="C109" s="2" t="n">
        <f aca="false">C106*Inputs!C146*(1-Inputs!C151)*Inputs!C62/70</f>
        <v>97900</v>
      </c>
      <c r="D109" s="2" t="n">
        <f aca="false">D106*Inputs!D146*(1-Inputs!D151)*Inputs!D62/70</f>
        <v>68086.9565217391</v>
      </c>
      <c r="E109" s="2" t="n">
        <f aca="false">E106*Inputs!E146*(1-Inputs!E151)*Inputs!E62/70</f>
        <v>45875.3799392097</v>
      </c>
      <c r="F109" s="2" t="n">
        <f aca="false">D109/Inputs!$D$4</f>
        <v>524.189364244662</v>
      </c>
    </row>
    <row r="110" customFormat="false" ht="15" hidden="false" customHeight="false" outlineLevel="0" collapsed="false">
      <c r="A110" s="0" t="s">
        <v>603</v>
      </c>
      <c r="B110" s="0" t="s">
        <v>26</v>
      </c>
      <c r="C110" s="2" t="n">
        <f aca="false">C101*Inputs!C150*(1-Inputs!C151)*Inputs!C62/70</f>
        <v>291600</v>
      </c>
      <c r="D110" s="2" t="n">
        <f aca="false">D101*Inputs!D150*(1-Inputs!D151)*Inputs!D62/70</f>
        <v>237600</v>
      </c>
      <c r="E110" s="2" t="n">
        <f aca="false">E101*Inputs!E150*(1-Inputs!E151)*Inputs!E62/70</f>
        <v>200571.428571429</v>
      </c>
      <c r="F110" s="2" t="n">
        <f aca="false">D110/Inputs!$D$4</f>
        <v>1829.24012626068</v>
      </c>
    </row>
    <row r="111" customFormat="false" ht="15" hidden="false" customHeight="false" outlineLevel="0" collapsed="false">
      <c r="A111" s="0" t="s">
        <v>604</v>
      </c>
      <c r="B111" s="0" t="s">
        <v>26</v>
      </c>
      <c r="C111" s="2" t="n">
        <f aca="false">C95*Inputs!C147+(C106+C101)*Inputs!C154</f>
        <v>68266.6666666667</v>
      </c>
      <c r="D111" s="2" t="n">
        <f aca="false">D95*Inputs!D147+(D106+D101)*Inputs!D154</f>
        <v>51565.2173913044</v>
      </c>
      <c r="E111" s="2" t="n">
        <f aca="false">E95*Inputs!E147+(E106+E101)*Inputs!E154</f>
        <v>43089.3617021277</v>
      </c>
      <c r="F111" s="2" t="n">
        <f aca="false">D111/Inputs!$D$4</f>
        <v>396.991434223607</v>
      </c>
    </row>
    <row r="112" customFormat="false" ht="15" hidden="false" customHeight="false" outlineLevel="0" collapsed="false">
      <c r="A112" s="0" t="s">
        <v>605</v>
      </c>
      <c r="B112" s="0" t="s">
        <v>26</v>
      </c>
      <c r="C112" s="2" t="n">
        <f aca="false">(C106+C101)*Inputs!C66</f>
        <v>14755.5555555556</v>
      </c>
      <c r="D112" s="2" t="n">
        <f aca="false">(D106+D101)*Inputs!D66</f>
        <v>11836.9565217391</v>
      </c>
      <c r="E112" s="2" t="n">
        <f aca="false">(E106+E101)*Inputs!E66</f>
        <v>10835.7446808511</v>
      </c>
      <c r="F112" s="2" t="n">
        <f aca="false">D112/Inputs!$D$4</f>
        <v>91.1306222321898</v>
      </c>
    </row>
    <row r="113" customFormat="false" ht="15" hidden="false" customHeight="false" outlineLevel="0" collapsed="false">
      <c r="A113" s="0" t="s">
        <v>606</v>
      </c>
      <c r="B113" s="0" t="s">
        <v>26</v>
      </c>
      <c r="C113" s="2" t="n">
        <f aca="false">C97/30*Inputs!C64</f>
        <v>17600</v>
      </c>
      <c r="D113" s="2" t="n">
        <f aca="false">D97/30*Inputs!D64</f>
        <v>24250</v>
      </c>
      <c r="E113" s="2" t="n">
        <f aca="false">E97/30*Inputs!E64</f>
        <v>29250</v>
      </c>
      <c r="F113" s="2" t="n">
        <f aca="false">D113/Inputs!$D$4</f>
        <v>186.696435445377</v>
      </c>
    </row>
    <row r="114" customFormat="false" ht="15" hidden="false" customHeight="false" outlineLevel="0" collapsed="false">
      <c r="A114" s="0" t="s">
        <v>607</v>
      </c>
      <c r="B114" s="0" t="s">
        <v>26</v>
      </c>
      <c r="C114" s="2" t="n">
        <f aca="false">C98*Inputs!C63+(C100+C103)*Inputs!C65</f>
        <v>27279.6</v>
      </c>
      <c r="D114" s="2" t="n">
        <f aca="false">D98*Inputs!D63+(D100+D103)*Inputs!D65</f>
        <v>31495</v>
      </c>
      <c r="E114" s="2" t="n">
        <f aca="false">E98*Inputs!E63+(E100+E103)*Inputs!E65</f>
        <v>31743.6</v>
      </c>
      <c r="F114" s="2" t="n">
        <f aca="false">D114/Inputs!$D$4</f>
        <v>242.474401416583</v>
      </c>
    </row>
    <row r="115" customFormat="false" ht="15" hidden="false" customHeight="false" outlineLevel="0" collapsed="false">
      <c r="A115" s="1" t="s">
        <v>569</v>
      </c>
      <c r="B115" s="6" t="s">
        <v>26</v>
      </c>
      <c r="C115" s="7" t="n">
        <f aca="false">C107+C108+C109+C110+C111+C112+C113+C114</f>
        <v>1024276.42539683</v>
      </c>
      <c r="D115" s="7" t="n">
        <f aca="false">D107+D108+D109+D110+D111+D112+D113+D114</f>
        <v>810330.49689441</v>
      </c>
      <c r="E115" s="7" t="n">
        <f aca="false">E107+E108+E109+E110+E111+E112+E113+E114</f>
        <v>668473.387234043</v>
      </c>
      <c r="F115" s="2" t="n">
        <f aca="false">D115/Inputs!$D$4</f>
        <v>6238.59032176773</v>
      </c>
    </row>
    <row r="116" customFormat="false" ht="15" hidden="false" customHeight="false" outlineLevel="0" collapsed="false">
      <c r="A116" s="1" t="s">
        <v>28</v>
      </c>
      <c r="B116" s="6" t="s">
        <v>26</v>
      </c>
      <c r="C116" s="7" t="n">
        <f aca="false">C104-C115</f>
        <v>-427996.425396825</v>
      </c>
      <c r="D116" s="7" t="n">
        <f aca="false">D104-D115</f>
        <v>86169.5031055901</v>
      </c>
      <c r="E116" s="7" t="n">
        <f aca="false">E104-E115</f>
        <v>600246.612765958</v>
      </c>
      <c r="F116" s="2" t="n">
        <f aca="false">D116/Inputs!$D$4</f>
        <v>663.403673151052</v>
      </c>
    </row>
    <row r="117" customFormat="false" ht="15" hidden="false" customHeight="false" outlineLevel="0" collapsed="false">
      <c r="A117" s="0" t="s">
        <v>608</v>
      </c>
      <c r="B117" s="0" t="s">
        <v>105</v>
      </c>
      <c r="C117" s="2" t="n">
        <f aca="false">C116/C94</f>
        <v>-855.99285079365</v>
      </c>
      <c r="D117" s="2" t="n">
        <f aca="false">D116/D94</f>
        <v>172.33900621118</v>
      </c>
      <c r="E117" s="2" t="n">
        <f aca="false">E116/E94</f>
        <v>1200.49322553192</v>
      </c>
    </row>
    <row r="118" customFormat="false" ht="15" hidden="false" customHeight="false" outlineLevel="0" collapsed="false">
      <c r="A118" s="0" t="s">
        <v>609</v>
      </c>
      <c r="B118" s="0" t="s">
        <v>105</v>
      </c>
      <c r="C118" s="2" t="n">
        <f aca="false">Inputs!C137*(1-Inputs!C138)*(Inputs!C139*(1-Inputs!C63)-Inputs!C64/30)+Inputs!C142*Inputs!C143*(1-Inputs!C65)-(Inputs!C142+Inputs!C144)/(1-Inputs!C145)*(Inputs!C153+Inputs!C66+Inputs!C154+Inputs!C146*(1-Inputs!C151)*Inputs!C62/70)-Inputs!C140/1000*365*(1-Inputs!C141)*Inputs!C61/70-Inputs!C147</f>
        <v>-1488.47212698413</v>
      </c>
      <c r="D118" s="2" t="n">
        <f aca="false">Inputs!D137*(1-Inputs!D138)*(Inputs!D139*(1-Inputs!D63)-Inputs!D64/30)+Inputs!D142*Inputs!D143*(1-Inputs!D65)-(Inputs!D142+Inputs!D144)/(1-Inputs!D145)*(Inputs!D153+Inputs!D66+Inputs!D154+Inputs!D146*(1-Inputs!D151)*Inputs!D62/70)-Inputs!D140/1000*365*(1-Inputs!D141)*Inputs!D61/70-Inputs!D147</f>
        <v>243.04751552795</v>
      </c>
      <c r="E118" s="2" t="n">
        <f aca="false">Inputs!E137*(1-Inputs!E138)*(Inputs!E139*(1-Inputs!E63)-Inputs!E64/30)+Inputs!E142*Inputs!E143*(1-Inputs!E65)-(Inputs!E142+Inputs!E144)/(1-Inputs!E145)*(Inputs!E153+Inputs!E66+Inputs!E154+Inputs!E146*(1-Inputs!E151)*Inputs!E62/70)-Inputs!E140/1000*365*(1-Inputs!E141)*Inputs!E61/70-Inputs!E147</f>
        <v>1814.22820668693</v>
      </c>
    </row>
    <row r="119" customFormat="false" ht="15" hidden="false" customHeight="false" outlineLevel="0" collapsed="false">
      <c r="A119" s="0" t="s">
        <v>610</v>
      </c>
      <c r="B119" s="0" t="s">
        <v>105</v>
      </c>
      <c r="C119" s="2" t="n">
        <f aca="false">Inputs!C148*((1-Inputs!C149)*Inputs!C152*(1-Inputs!C65)-Inputs!C153-Inputs!C66-Inputs!C154-Inputs!C150*(1-Inputs!C151)*Inputs!C62/70)</f>
        <v>-434.34</v>
      </c>
      <c r="D119" s="2" t="n">
        <f aca="false">Inputs!D148*((1-Inputs!D149)*Inputs!D152*(1-Inputs!D65)-Inputs!D153-Inputs!D66-Inputs!D154-Inputs!D150*(1-Inputs!D151)*Inputs!D62/70)</f>
        <v>125.2</v>
      </c>
      <c r="E119" s="2" t="n">
        <f aca="false">Inputs!E148*((1-Inputs!E149)*Inputs!E152*(1-Inputs!E65)-Inputs!E153-Inputs!E66-Inputs!E154-Inputs!E150*(1-Inputs!E151)*Inputs!E62/70)</f>
        <v>791.336571428571</v>
      </c>
    </row>
    <row r="120" customFormat="false" ht="15" hidden="false" customHeight="false" outlineLevel="0" collapsed="false">
      <c r="A120" s="0" t="s">
        <v>611</v>
      </c>
      <c r="B120" s="0" t="s">
        <v>26</v>
      </c>
      <c r="C120" s="2" t="n">
        <f aca="false">C116-(C95*C118+C96*C119)</f>
        <v>0</v>
      </c>
      <c r="D120" s="2" t="n">
        <f aca="false">D116-(D95*D118+D96*D119)</f>
        <v>0</v>
      </c>
      <c r="E120" s="2" t="n">
        <f aca="false">E116-(E95*E118+E96*E119)</f>
        <v>0</v>
      </c>
      <c r="F120" s="2" t="n">
        <f aca="false">D120/Inputs!$D$4</f>
        <v>0</v>
      </c>
    </row>
    <row r="121" customFormat="false" ht="15" hidden="false" customHeight="false" outlineLevel="0" collapsed="false">
      <c r="A121" s="0" t="s">
        <v>573</v>
      </c>
      <c r="B121" s="0" t="s">
        <v>26</v>
      </c>
      <c r="C121" s="2" t="n">
        <f aca="false">Inputs!C135*Inputs!C155</f>
        <v>250000</v>
      </c>
      <c r="D121" s="2" t="n">
        <f aca="false">Inputs!D135*Inputs!D155</f>
        <v>250000</v>
      </c>
      <c r="E121" s="2" t="n">
        <f aca="false">Inputs!E135*Inputs!E155</f>
        <v>250000</v>
      </c>
      <c r="F121" s="2" t="n">
        <f aca="false">D121/Inputs!$D$4</f>
        <v>1924.70552005543</v>
      </c>
    </row>
    <row r="122" customFormat="false" ht="15" hidden="false" customHeight="false" outlineLevel="0" collapsed="false">
      <c r="A122" s="0" t="s">
        <v>583</v>
      </c>
      <c r="B122" s="0" t="s">
        <v>26</v>
      </c>
      <c r="C122" s="2" t="n">
        <f aca="false">C108+C109+C110</f>
        <v>793085.714285714</v>
      </c>
      <c r="D122" s="2" t="n">
        <f aca="false">D108+D109+D110</f>
        <v>596487.670807453</v>
      </c>
      <c r="E122" s="2" t="n">
        <f aca="false">E108+E109+E110</f>
        <v>463256.808510638</v>
      </c>
      <c r="F122" s="2" t="n">
        <f aca="false">D122/Inputs!$D$4</f>
        <v>4592.25245059245</v>
      </c>
    </row>
    <row r="123" customFormat="false" ht="15" hidden="false" customHeight="false" outlineLevel="0" collapsed="false">
      <c r="A123" s="4" t="s">
        <v>53</v>
      </c>
      <c r="B123" s="5"/>
      <c r="C123" s="5"/>
      <c r="D123" s="5"/>
      <c r="E123" s="5"/>
      <c r="F123" s="5"/>
      <c r="G123" s="5"/>
    </row>
    <row r="124" customFormat="false" ht="15" hidden="false" customHeight="false" outlineLevel="0" collapsed="false">
      <c r="A124" s="0" t="s">
        <v>62</v>
      </c>
      <c r="B124" s="0" t="s">
        <v>63</v>
      </c>
      <c r="C124" s="2" t="n">
        <f aca="false">Inputs!C157</f>
        <v>100</v>
      </c>
      <c r="D124" s="2" t="n">
        <f aca="false">Inputs!D157</f>
        <v>100</v>
      </c>
      <c r="E124" s="2" t="n">
        <f aca="false">Inputs!E157</f>
        <v>100</v>
      </c>
    </row>
    <row r="125" customFormat="false" ht="15" hidden="false" customHeight="false" outlineLevel="0" collapsed="false">
      <c r="A125" s="0" t="s">
        <v>588</v>
      </c>
      <c r="B125" s="0" t="s">
        <v>63</v>
      </c>
      <c r="C125" s="2" t="n">
        <f aca="false">Inputs!C157*Inputs!C158</f>
        <v>0</v>
      </c>
      <c r="D125" s="2" t="n">
        <f aca="false">Inputs!D157*Inputs!D158</f>
        <v>0</v>
      </c>
      <c r="E125" s="2" t="n">
        <f aca="false">Inputs!E157*Inputs!E158</f>
        <v>0</v>
      </c>
    </row>
    <row r="126" customFormat="false" ht="15" hidden="false" customHeight="false" outlineLevel="0" collapsed="false">
      <c r="A126" s="0" t="s">
        <v>589</v>
      </c>
      <c r="B126" s="0" t="s">
        <v>63</v>
      </c>
      <c r="C126" s="2" t="n">
        <f aca="false">Inputs!C157-C125</f>
        <v>100</v>
      </c>
      <c r="D126" s="2" t="n">
        <f aca="false">Inputs!D157-D125</f>
        <v>100</v>
      </c>
      <c r="E126" s="2" t="n">
        <f aca="false">Inputs!E157-E125</f>
        <v>100</v>
      </c>
    </row>
    <row r="127" customFormat="false" ht="15" hidden="false" customHeight="false" outlineLevel="0" collapsed="false">
      <c r="A127" s="0" t="s">
        <v>590</v>
      </c>
      <c r="B127" s="0" t="s">
        <v>591</v>
      </c>
      <c r="C127" s="2" t="n">
        <f aca="false">C125*Inputs!C159*(1-Inputs!C160)</f>
        <v>0</v>
      </c>
      <c r="D127" s="2" t="n">
        <f aca="false">D125*Inputs!D159*(1-Inputs!D160)</f>
        <v>0</v>
      </c>
      <c r="E127" s="2" t="n">
        <f aca="false">E125*Inputs!E159*(1-Inputs!E160)</f>
        <v>0</v>
      </c>
    </row>
    <row r="128" customFormat="false" ht="15" hidden="false" customHeight="false" outlineLevel="0" collapsed="false">
      <c r="A128" s="0" t="s">
        <v>592</v>
      </c>
      <c r="B128" s="0" t="s">
        <v>26</v>
      </c>
      <c r="C128" s="2" t="n">
        <f aca="false">C127*Inputs!C161</f>
        <v>0</v>
      </c>
      <c r="D128" s="2" t="n">
        <f aca="false">D127*Inputs!D161</f>
        <v>0</v>
      </c>
      <c r="E128" s="2" t="n">
        <f aca="false">E127*Inputs!E161</f>
        <v>0</v>
      </c>
      <c r="F128" s="2" t="n">
        <f aca="false">D128/Inputs!$D$4</f>
        <v>0</v>
      </c>
    </row>
    <row r="129" customFormat="false" ht="15" hidden="false" customHeight="false" outlineLevel="0" collapsed="false">
      <c r="A129" s="0" t="s">
        <v>593</v>
      </c>
      <c r="B129" s="0" t="s">
        <v>63</v>
      </c>
      <c r="C129" s="2" t="n">
        <f aca="false">C125*Inputs!C164</f>
        <v>0</v>
      </c>
      <c r="D129" s="2" t="n">
        <f aca="false">D125*Inputs!D164</f>
        <v>0</v>
      </c>
      <c r="E129" s="2" t="n">
        <f aca="false">E125*Inputs!E164</f>
        <v>0</v>
      </c>
    </row>
    <row r="130" customFormat="false" ht="15" hidden="false" customHeight="false" outlineLevel="0" collapsed="false">
      <c r="A130" s="0" t="s">
        <v>594</v>
      </c>
      <c r="B130" s="0" t="s">
        <v>26</v>
      </c>
      <c r="C130" s="2" t="n">
        <f aca="false">C129*Inputs!C165</f>
        <v>0</v>
      </c>
      <c r="D130" s="2" t="n">
        <f aca="false">D129*Inputs!D165</f>
        <v>0</v>
      </c>
      <c r="E130" s="2" t="n">
        <f aca="false">E129*Inputs!E165</f>
        <v>0</v>
      </c>
      <c r="F130" s="2" t="n">
        <f aca="false">D130/Inputs!$D$4</f>
        <v>0</v>
      </c>
    </row>
    <row r="131" customFormat="false" ht="15" hidden="false" customHeight="false" outlineLevel="0" collapsed="false">
      <c r="A131" s="0" t="s">
        <v>595</v>
      </c>
      <c r="B131" s="0" t="s">
        <v>63</v>
      </c>
      <c r="C131" s="2" t="n">
        <f aca="false">C126*Inputs!C170</f>
        <v>200</v>
      </c>
      <c r="D131" s="2" t="n">
        <f aca="false">D126*Inputs!D170</f>
        <v>200</v>
      </c>
      <c r="E131" s="2" t="n">
        <f aca="false">E126*Inputs!E170</f>
        <v>200</v>
      </c>
    </row>
    <row r="132" customFormat="false" ht="15" hidden="false" customHeight="false" outlineLevel="0" collapsed="false">
      <c r="A132" s="0" t="s">
        <v>596</v>
      </c>
      <c r="B132" s="0" t="s">
        <v>63</v>
      </c>
      <c r="C132" s="2" t="n">
        <f aca="false">C131*(1-Inputs!C171)</f>
        <v>168</v>
      </c>
      <c r="D132" s="2" t="n">
        <f aca="false">D131*(1-Inputs!D171)</f>
        <v>176</v>
      </c>
      <c r="E132" s="2" t="n">
        <f aca="false">E131*(1-Inputs!E171)</f>
        <v>182</v>
      </c>
    </row>
    <row r="133" customFormat="false" ht="15" hidden="false" customHeight="false" outlineLevel="0" collapsed="false">
      <c r="A133" s="0" t="s">
        <v>597</v>
      </c>
      <c r="B133" s="0" t="s">
        <v>26</v>
      </c>
      <c r="C133" s="2" t="n">
        <f aca="false">C132*Inputs!C174</f>
        <v>134400</v>
      </c>
      <c r="D133" s="2" t="n">
        <f aca="false">D132*Inputs!D174</f>
        <v>176000</v>
      </c>
      <c r="E133" s="2" t="n">
        <f aca="false">E132*Inputs!E174</f>
        <v>254800</v>
      </c>
      <c r="F133" s="2" t="n">
        <f aca="false">D133/Inputs!$D$4</f>
        <v>1354.99268611902</v>
      </c>
    </row>
    <row r="134" customFormat="false" ht="15" hidden="false" customHeight="false" outlineLevel="0" collapsed="false">
      <c r="A134" s="1" t="s">
        <v>562</v>
      </c>
      <c r="B134" s="6" t="s">
        <v>26</v>
      </c>
      <c r="C134" s="7" t="n">
        <f aca="false">C128+C130+C133</f>
        <v>134400</v>
      </c>
      <c r="D134" s="7" t="n">
        <f aca="false">D128+D130+D133</f>
        <v>176000</v>
      </c>
      <c r="E134" s="7" t="n">
        <f aca="false">E128+E130+E133</f>
        <v>254800</v>
      </c>
      <c r="F134" s="2" t="n">
        <f aca="false">D134/Inputs!$D$4</f>
        <v>1354.99268611902</v>
      </c>
    </row>
    <row r="135" customFormat="false" ht="15" hidden="false" customHeight="false" outlineLevel="0" collapsed="false">
      <c r="A135" s="0" t="s">
        <v>598</v>
      </c>
      <c r="B135" s="0" t="s">
        <v>63</v>
      </c>
      <c r="C135" s="2" t="n">
        <f aca="false">C125*(Inputs!C164+Inputs!C166)</f>
        <v>0</v>
      </c>
      <c r="D135" s="2" t="n">
        <f aca="false">D125*(Inputs!D164+Inputs!D166)</f>
        <v>0</v>
      </c>
      <c r="E135" s="2" t="n">
        <f aca="false">E125*(Inputs!E164+Inputs!E166)</f>
        <v>0</v>
      </c>
    </row>
    <row r="136" customFormat="false" ht="15" hidden="false" customHeight="false" outlineLevel="0" collapsed="false">
      <c r="A136" s="0" t="s">
        <v>599</v>
      </c>
      <c r="B136" s="0" t="s">
        <v>63</v>
      </c>
      <c r="C136" s="2" t="n">
        <f aca="false">C135/(1-Inputs!C167)</f>
        <v>0</v>
      </c>
      <c r="D136" s="2" t="n">
        <f aca="false">D135/(1-Inputs!D167)</f>
        <v>0</v>
      </c>
      <c r="E136" s="2" t="n">
        <f aca="false">E135/(1-Inputs!E167)</f>
        <v>0</v>
      </c>
    </row>
    <row r="137" customFormat="false" ht="15" hidden="false" customHeight="false" outlineLevel="0" collapsed="false">
      <c r="A137" s="0" t="s">
        <v>600</v>
      </c>
      <c r="B137" s="0" t="s">
        <v>26</v>
      </c>
      <c r="C137" s="2" t="n">
        <f aca="false">(C136+C131)*Inputs!C175</f>
        <v>48000</v>
      </c>
      <c r="D137" s="2" t="n">
        <f aca="false">(D136+D131)*Inputs!D175</f>
        <v>44000</v>
      </c>
      <c r="E137" s="2" t="n">
        <f aca="false">(E136+E131)*Inputs!E175</f>
        <v>41000</v>
      </c>
      <c r="F137" s="2" t="n">
        <f aca="false">D137/Inputs!$D$4</f>
        <v>338.748171529756</v>
      </c>
    </row>
    <row r="138" customFormat="false" ht="15" hidden="false" customHeight="false" outlineLevel="0" collapsed="false">
      <c r="A138" s="0" t="s">
        <v>601</v>
      </c>
      <c r="B138" s="0" t="s">
        <v>26</v>
      </c>
      <c r="C138" s="2" t="n">
        <f aca="false">C125*Inputs!C162/1000*365*(1-Inputs!C163)*Inputs!C61/70</f>
        <v>0</v>
      </c>
      <c r="D138" s="2" t="n">
        <f aca="false">D125*Inputs!D162/1000*365*(1-Inputs!D163)*Inputs!D61/70</f>
        <v>0</v>
      </c>
      <c r="E138" s="2" t="n">
        <f aca="false">E125*Inputs!E162/1000*365*(1-Inputs!E163)*Inputs!E61/70</f>
        <v>0</v>
      </c>
      <c r="F138" s="2" t="n">
        <f aca="false">D138/Inputs!$D$4</f>
        <v>0</v>
      </c>
    </row>
    <row r="139" customFormat="false" ht="15" hidden="false" customHeight="false" outlineLevel="0" collapsed="false">
      <c r="A139" s="0" t="s">
        <v>602</v>
      </c>
      <c r="B139" s="0" t="s">
        <v>26</v>
      </c>
      <c r="C139" s="2" t="n">
        <f aca="false">C136*Inputs!C168*(1-Inputs!C173)*Inputs!C62/70</f>
        <v>0</v>
      </c>
      <c r="D139" s="2" t="n">
        <f aca="false">D136*Inputs!D168*(1-Inputs!D173)*Inputs!D62/70</f>
        <v>0</v>
      </c>
      <c r="E139" s="2" t="n">
        <f aca="false">E136*Inputs!E168*(1-Inputs!E173)*Inputs!E62/70</f>
        <v>0</v>
      </c>
      <c r="F139" s="2" t="n">
        <f aca="false">D139/Inputs!$D$4</f>
        <v>0</v>
      </c>
    </row>
    <row r="140" customFormat="false" ht="15" hidden="false" customHeight="false" outlineLevel="0" collapsed="false">
      <c r="A140" s="0" t="s">
        <v>603</v>
      </c>
      <c r="B140" s="0" t="s">
        <v>26</v>
      </c>
      <c r="C140" s="2" t="n">
        <f aca="false">C131*Inputs!C172*(1-Inputs!C173)*Inputs!C62/70</f>
        <v>90000</v>
      </c>
      <c r="D140" s="2" t="n">
        <f aca="false">D131*Inputs!D172*(1-Inputs!D173)*Inputs!D62/70</f>
        <v>68400</v>
      </c>
      <c r="E140" s="2" t="n">
        <f aca="false">E131*Inputs!E172*(1-Inputs!E173)*Inputs!E62/70</f>
        <v>50142.8571428571</v>
      </c>
      <c r="F140" s="2" t="n">
        <f aca="false">D140/Inputs!$D$4</f>
        <v>526.599430287166</v>
      </c>
    </row>
    <row r="141" customFormat="false" ht="15" hidden="false" customHeight="false" outlineLevel="0" collapsed="false">
      <c r="A141" s="0" t="s">
        <v>604</v>
      </c>
      <c r="B141" s="0" t="s">
        <v>26</v>
      </c>
      <c r="C141" s="2" t="n">
        <f aca="false">C125*Inputs!C169+(C136+C131)*Inputs!C176</f>
        <v>12000</v>
      </c>
      <c r="D141" s="2" t="n">
        <f aca="false">D125*Inputs!D169+(D136+D131)*Inputs!D176</f>
        <v>8000</v>
      </c>
      <c r="E141" s="2" t="n">
        <f aca="false">E125*Inputs!E169+(E136+E131)*Inputs!E176</f>
        <v>6000</v>
      </c>
      <c r="F141" s="2" t="n">
        <f aca="false">D141/Inputs!$D$4</f>
        <v>61.5905766417738</v>
      </c>
    </row>
    <row r="142" customFormat="false" ht="15" hidden="false" customHeight="false" outlineLevel="0" collapsed="false">
      <c r="A142" s="0" t="s">
        <v>605</v>
      </c>
      <c r="B142" s="0" t="s">
        <v>26</v>
      </c>
      <c r="C142" s="2" t="n">
        <f aca="false">(C136+C131)*Inputs!C66</f>
        <v>4000</v>
      </c>
      <c r="D142" s="2" t="n">
        <f aca="false">(D136+D131)*Inputs!D66</f>
        <v>3000</v>
      </c>
      <c r="E142" s="2" t="n">
        <f aca="false">(E136+E131)*Inputs!E66</f>
        <v>2400</v>
      </c>
      <c r="F142" s="2" t="n">
        <f aca="false">D142/Inputs!$D$4</f>
        <v>23.0964662406652</v>
      </c>
    </row>
    <row r="143" customFormat="false" ht="15" hidden="false" customHeight="false" outlineLevel="0" collapsed="false">
      <c r="A143" s="0" t="s">
        <v>606</v>
      </c>
      <c r="B143" s="0" t="s">
        <v>26</v>
      </c>
      <c r="C143" s="2" t="n">
        <f aca="false">C127/30*Inputs!C64</f>
        <v>0</v>
      </c>
      <c r="D143" s="2" t="n">
        <f aca="false">D127/30*Inputs!D64</f>
        <v>0</v>
      </c>
      <c r="E143" s="2" t="n">
        <f aca="false">E127/30*Inputs!E64</f>
        <v>0</v>
      </c>
      <c r="F143" s="2" t="n">
        <f aca="false">D143/Inputs!$D$4</f>
        <v>0</v>
      </c>
    </row>
    <row r="144" customFormat="false" ht="15" hidden="false" customHeight="false" outlineLevel="0" collapsed="false">
      <c r="A144" s="0" t="s">
        <v>607</v>
      </c>
      <c r="B144" s="0" t="s">
        <v>26</v>
      </c>
      <c r="C144" s="2" t="n">
        <f aca="false">C128*Inputs!C63+(C130+C133)*Inputs!C65</f>
        <v>6720</v>
      </c>
      <c r="D144" s="2" t="n">
        <f aca="false">D128*Inputs!D63+(D130+D133)*Inputs!D65</f>
        <v>7040</v>
      </c>
      <c r="E144" s="2" t="n">
        <f aca="false">E128*Inputs!E63+(E130+E133)*Inputs!E65</f>
        <v>7644</v>
      </c>
      <c r="F144" s="2" t="n">
        <f aca="false">D144/Inputs!$D$4</f>
        <v>54.199707444761</v>
      </c>
    </row>
    <row r="145" customFormat="false" ht="15" hidden="false" customHeight="false" outlineLevel="0" collapsed="false">
      <c r="A145" s="1" t="s">
        <v>569</v>
      </c>
      <c r="B145" s="6" t="s">
        <v>26</v>
      </c>
      <c r="C145" s="7" t="n">
        <f aca="false">C137+C138+C139+C140+C141+C142+C143+C144</f>
        <v>160720</v>
      </c>
      <c r="D145" s="7" t="n">
        <f aca="false">D137+D138+D139+D140+D141+D142+D143+D144</f>
        <v>130440</v>
      </c>
      <c r="E145" s="7" t="n">
        <f aca="false">E137+E138+E139+E140+E141+E142+E143+E144</f>
        <v>107186.857142857</v>
      </c>
      <c r="F145" s="2" t="n">
        <f aca="false">D145/Inputs!$D$4</f>
        <v>1004.23435214412</v>
      </c>
    </row>
    <row r="146" customFormat="false" ht="15" hidden="false" customHeight="false" outlineLevel="0" collapsed="false">
      <c r="A146" s="1" t="s">
        <v>28</v>
      </c>
      <c r="B146" s="6" t="s">
        <v>26</v>
      </c>
      <c r="C146" s="7" t="n">
        <f aca="false">C134-C145</f>
        <v>-26320</v>
      </c>
      <c r="D146" s="7" t="n">
        <f aca="false">D134-D145</f>
        <v>45560</v>
      </c>
      <c r="E146" s="7" t="n">
        <f aca="false">E134-E145</f>
        <v>147613.142857143</v>
      </c>
      <c r="F146" s="2" t="n">
        <f aca="false">D146/Inputs!$D$4</f>
        <v>350.758333974902</v>
      </c>
    </row>
    <row r="147" customFormat="false" ht="15" hidden="false" customHeight="false" outlineLevel="0" collapsed="false">
      <c r="A147" s="0" t="s">
        <v>608</v>
      </c>
      <c r="B147" s="0" t="s">
        <v>105</v>
      </c>
      <c r="C147" s="2" t="n">
        <f aca="false">C146/C124</f>
        <v>-263.2</v>
      </c>
      <c r="D147" s="2" t="n">
        <f aca="false">D146/D124</f>
        <v>455.6</v>
      </c>
      <c r="E147" s="2" t="n">
        <f aca="false">E146/E124</f>
        <v>1476.13142857143</v>
      </c>
    </row>
    <row r="148" customFormat="false" ht="15" hidden="false" customHeight="false" outlineLevel="0" collapsed="false">
      <c r="A148" s="0" t="s">
        <v>609</v>
      </c>
      <c r="B148" s="0" t="s">
        <v>105</v>
      </c>
      <c r="C148" s="2" t="n">
        <f aca="false">Inputs!C159*(1-Inputs!C160)*(Inputs!C161*(1-Inputs!C63)-Inputs!C64/30)+Inputs!C164*Inputs!C165*(1-Inputs!C65)-(Inputs!C164+Inputs!C166)/(1-Inputs!C167)*(Inputs!C175+Inputs!C66+Inputs!C176+Inputs!C168*(1-Inputs!C173)*Inputs!C62/70)-Inputs!C162/1000*365*(1-Inputs!C163)*Inputs!C61/70-Inputs!C169</f>
        <v>0</v>
      </c>
      <c r="D148" s="2" t="n">
        <f aca="false">Inputs!D159*(1-Inputs!D160)*(Inputs!D161*(1-Inputs!D63)-Inputs!D64/30)+Inputs!D164*Inputs!D165*(1-Inputs!D65)-(Inputs!D164+Inputs!D166)/(1-Inputs!D167)*(Inputs!D175+Inputs!D66+Inputs!D176+Inputs!D168*(1-Inputs!D173)*Inputs!D62/70)-Inputs!D162/1000*365*(1-Inputs!D163)*Inputs!D61/70-Inputs!D169</f>
        <v>0</v>
      </c>
      <c r="E148" s="2" t="n">
        <f aca="false">Inputs!E159*(1-Inputs!E160)*(Inputs!E161*(1-Inputs!E63)-Inputs!E64/30)+Inputs!E164*Inputs!E165*(1-Inputs!E65)-(Inputs!E164+Inputs!E166)/(1-Inputs!E167)*(Inputs!E175+Inputs!E66+Inputs!E176+Inputs!E168*(1-Inputs!E173)*Inputs!E62/70)-Inputs!E162/1000*365*(1-Inputs!E163)*Inputs!E61/70-Inputs!E169</f>
        <v>0</v>
      </c>
    </row>
    <row r="149" customFormat="false" ht="15" hidden="false" customHeight="false" outlineLevel="0" collapsed="false">
      <c r="A149" s="0" t="s">
        <v>610</v>
      </c>
      <c r="B149" s="0" t="s">
        <v>105</v>
      </c>
      <c r="C149" s="2" t="n">
        <f aca="false">Inputs!C170*((1-Inputs!C171)*Inputs!C174*(1-Inputs!C65)-Inputs!C175-Inputs!C66-Inputs!C176-Inputs!C172*(1-Inputs!C173)*Inputs!C62/70)</f>
        <v>-263.2</v>
      </c>
      <c r="D149" s="2" t="n">
        <f aca="false">Inputs!D170*((1-Inputs!D171)*Inputs!D174*(1-Inputs!D65)-Inputs!D175-Inputs!D66-Inputs!D176-Inputs!D172*(1-Inputs!D173)*Inputs!D62/70)</f>
        <v>455.6</v>
      </c>
      <c r="E149" s="2" t="n">
        <f aca="false">Inputs!E170*((1-Inputs!E171)*Inputs!E174*(1-Inputs!E65)-Inputs!E175-Inputs!E66-Inputs!E176-Inputs!E172*(1-Inputs!E173)*Inputs!E62/70)</f>
        <v>1476.13142857143</v>
      </c>
    </row>
    <row r="150" customFormat="false" ht="15" hidden="false" customHeight="false" outlineLevel="0" collapsed="false">
      <c r="A150" s="0" t="s">
        <v>611</v>
      </c>
      <c r="B150" s="0" t="s">
        <v>26</v>
      </c>
      <c r="C150" s="2" t="n">
        <f aca="false">C146-(C125*C148+C126*C149)</f>
        <v>0</v>
      </c>
      <c r="D150" s="2" t="n">
        <f aca="false">D146-(D125*D148+D126*D149)</f>
        <v>0</v>
      </c>
      <c r="E150" s="2" t="n">
        <f aca="false">E146-(E125*E148+E126*E149)</f>
        <v>0</v>
      </c>
      <c r="F150" s="2" t="n">
        <f aca="false">D150/Inputs!$D$4</f>
        <v>0</v>
      </c>
    </row>
    <row r="151" customFormat="false" ht="15" hidden="false" customHeight="false" outlineLevel="0" collapsed="false">
      <c r="A151" s="0" t="s">
        <v>573</v>
      </c>
      <c r="B151" s="0" t="s">
        <v>26</v>
      </c>
      <c r="C151" s="2" t="n">
        <f aca="false">Inputs!C157*Inputs!C177</f>
        <v>50000</v>
      </c>
      <c r="D151" s="2" t="n">
        <f aca="false">Inputs!D157*Inputs!D177</f>
        <v>50000</v>
      </c>
      <c r="E151" s="2" t="n">
        <f aca="false">Inputs!E157*Inputs!E177</f>
        <v>50000</v>
      </c>
      <c r="F151" s="2" t="n">
        <f aca="false">D151/Inputs!$D$4</f>
        <v>384.941104011086</v>
      </c>
    </row>
    <row r="152" customFormat="false" ht="15" hidden="false" customHeight="false" outlineLevel="0" collapsed="false">
      <c r="A152" s="0" t="s">
        <v>583</v>
      </c>
      <c r="B152" s="0" t="s">
        <v>26</v>
      </c>
      <c r="C152" s="2" t="n">
        <f aca="false">C138+C139+C140</f>
        <v>90000</v>
      </c>
      <c r="D152" s="2" t="n">
        <f aca="false">D138+D139+D140</f>
        <v>68400</v>
      </c>
      <c r="E152" s="2" t="n">
        <f aca="false">E138+E139+E140</f>
        <v>50142.8571428571</v>
      </c>
      <c r="F152" s="2" t="n">
        <f aca="false">D152/Inputs!$D$4</f>
        <v>526.599430287166</v>
      </c>
    </row>
    <row r="153" customFormat="false" ht="15" hidden="false" customHeight="false" outlineLevel="0" collapsed="false">
      <c r="A153" s="4" t="s">
        <v>54</v>
      </c>
      <c r="B153" s="5"/>
      <c r="C153" s="5"/>
      <c r="D153" s="5"/>
      <c r="E153" s="5"/>
      <c r="F153" s="5"/>
      <c r="G153" s="5"/>
    </row>
    <row r="154" customFormat="false" ht="15" hidden="false" customHeight="false" outlineLevel="0" collapsed="false">
      <c r="A154" s="0" t="s">
        <v>62</v>
      </c>
      <c r="B154" s="0" t="s">
        <v>63</v>
      </c>
      <c r="C154" s="2" t="n">
        <f aca="false">Inputs!C179</f>
        <v>50</v>
      </c>
      <c r="D154" s="2" t="n">
        <f aca="false">Inputs!D179</f>
        <v>50</v>
      </c>
      <c r="E154" s="2" t="n">
        <f aca="false">Inputs!E179</f>
        <v>50</v>
      </c>
    </row>
    <row r="155" customFormat="false" ht="15" hidden="false" customHeight="false" outlineLevel="0" collapsed="false">
      <c r="A155" s="0" t="s">
        <v>588</v>
      </c>
      <c r="B155" s="0" t="s">
        <v>63</v>
      </c>
      <c r="C155" s="2" t="n">
        <f aca="false">Inputs!C179*Inputs!C180</f>
        <v>0</v>
      </c>
      <c r="D155" s="2" t="n">
        <f aca="false">Inputs!D179*Inputs!D180</f>
        <v>0</v>
      </c>
      <c r="E155" s="2" t="n">
        <f aca="false">Inputs!E179*Inputs!E180</f>
        <v>0</v>
      </c>
    </row>
    <row r="156" customFormat="false" ht="15" hidden="false" customHeight="false" outlineLevel="0" collapsed="false">
      <c r="A156" s="0" t="s">
        <v>589</v>
      </c>
      <c r="B156" s="0" t="s">
        <v>63</v>
      </c>
      <c r="C156" s="2" t="n">
        <f aca="false">Inputs!C179-C155</f>
        <v>50</v>
      </c>
      <c r="D156" s="2" t="n">
        <f aca="false">Inputs!D179-D155</f>
        <v>50</v>
      </c>
      <c r="E156" s="2" t="n">
        <f aca="false">Inputs!E179-E155</f>
        <v>50</v>
      </c>
    </row>
    <row r="157" customFormat="false" ht="15" hidden="false" customHeight="false" outlineLevel="0" collapsed="false">
      <c r="A157" s="0" t="s">
        <v>590</v>
      </c>
      <c r="B157" s="0" t="s">
        <v>591</v>
      </c>
      <c r="C157" s="2" t="n">
        <f aca="false">C155*Inputs!C181*(1-Inputs!C182)</f>
        <v>0</v>
      </c>
      <c r="D157" s="2" t="n">
        <f aca="false">D155*Inputs!D181*(1-Inputs!D182)</f>
        <v>0</v>
      </c>
      <c r="E157" s="2" t="n">
        <f aca="false">E155*Inputs!E181*(1-Inputs!E182)</f>
        <v>0</v>
      </c>
    </row>
    <row r="158" customFormat="false" ht="15" hidden="false" customHeight="false" outlineLevel="0" collapsed="false">
      <c r="A158" s="0" t="s">
        <v>592</v>
      </c>
      <c r="B158" s="0" t="s">
        <v>26</v>
      </c>
      <c r="C158" s="2" t="n">
        <f aca="false">C157*Inputs!C183</f>
        <v>0</v>
      </c>
      <c r="D158" s="2" t="n">
        <f aca="false">D157*Inputs!D183</f>
        <v>0</v>
      </c>
      <c r="E158" s="2" t="n">
        <f aca="false">E157*Inputs!E183</f>
        <v>0</v>
      </c>
      <c r="F158" s="2" t="n">
        <f aca="false">D158/Inputs!$D$4</f>
        <v>0</v>
      </c>
    </row>
    <row r="159" customFormat="false" ht="15" hidden="false" customHeight="false" outlineLevel="0" collapsed="false">
      <c r="A159" s="0" t="s">
        <v>593</v>
      </c>
      <c r="B159" s="0" t="s">
        <v>63</v>
      </c>
      <c r="C159" s="2" t="n">
        <f aca="false">C155*Inputs!C186</f>
        <v>0</v>
      </c>
      <c r="D159" s="2" t="n">
        <f aca="false">D155*Inputs!D186</f>
        <v>0</v>
      </c>
      <c r="E159" s="2" t="n">
        <f aca="false">E155*Inputs!E186</f>
        <v>0</v>
      </c>
    </row>
    <row r="160" customFormat="false" ht="15" hidden="false" customHeight="false" outlineLevel="0" collapsed="false">
      <c r="A160" s="0" t="s">
        <v>594</v>
      </c>
      <c r="B160" s="0" t="s">
        <v>26</v>
      </c>
      <c r="C160" s="2" t="n">
        <f aca="false">C159*Inputs!C187</f>
        <v>0</v>
      </c>
      <c r="D160" s="2" t="n">
        <f aca="false">D159*Inputs!D187</f>
        <v>0</v>
      </c>
      <c r="E160" s="2" t="n">
        <f aca="false">E159*Inputs!E187</f>
        <v>0</v>
      </c>
      <c r="F160" s="2" t="n">
        <f aca="false">D160/Inputs!$D$4</f>
        <v>0</v>
      </c>
    </row>
    <row r="161" customFormat="false" ht="15" hidden="false" customHeight="false" outlineLevel="0" collapsed="false">
      <c r="A161" s="0" t="s">
        <v>595</v>
      </c>
      <c r="B161" s="0" t="s">
        <v>63</v>
      </c>
      <c r="C161" s="2" t="n">
        <f aca="false">C156*Inputs!C192</f>
        <v>50</v>
      </c>
      <c r="D161" s="2" t="n">
        <f aca="false">D156*Inputs!D192</f>
        <v>50</v>
      </c>
      <c r="E161" s="2" t="n">
        <f aca="false">E156*Inputs!E192</f>
        <v>50</v>
      </c>
    </row>
    <row r="162" customFormat="false" ht="15" hidden="false" customHeight="false" outlineLevel="0" collapsed="false">
      <c r="A162" s="0" t="s">
        <v>596</v>
      </c>
      <c r="B162" s="0" t="s">
        <v>63</v>
      </c>
      <c r="C162" s="2" t="n">
        <f aca="false">C161*(1-Inputs!C193)</f>
        <v>41</v>
      </c>
      <c r="D162" s="2" t="n">
        <f aca="false">D161*(1-Inputs!D193)</f>
        <v>44</v>
      </c>
      <c r="E162" s="2" t="n">
        <f aca="false">E161*(1-Inputs!E193)</f>
        <v>45.5</v>
      </c>
    </row>
    <row r="163" customFormat="false" ht="15" hidden="false" customHeight="false" outlineLevel="0" collapsed="false">
      <c r="A163" s="0" t="s">
        <v>597</v>
      </c>
      <c r="B163" s="0" t="s">
        <v>26</v>
      </c>
      <c r="C163" s="2" t="n">
        <f aca="false">C162*Inputs!C196</f>
        <v>82000</v>
      </c>
      <c r="D163" s="2" t="n">
        <f aca="false">D162*Inputs!D196</f>
        <v>123200</v>
      </c>
      <c r="E163" s="2" t="n">
        <f aca="false">E162*Inputs!E196</f>
        <v>182000</v>
      </c>
      <c r="F163" s="2" t="n">
        <f aca="false">D163/Inputs!$D$4</f>
        <v>948.494880283317</v>
      </c>
    </row>
    <row r="164" customFormat="false" ht="15" hidden="false" customHeight="false" outlineLevel="0" collapsed="false">
      <c r="A164" s="1" t="s">
        <v>562</v>
      </c>
      <c r="B164" s="6" t="s">
        <v>26</v>
      </c>
      <c r="C164" s="7" t="n">
        <f aca="false">C158+C160+C163</f>
        <v>82000</v>
      </c>
      <c r="D164" s="7" t="n">
        <f aca="false">D158+D160+D163</f>
        <v>123200</v>
      </c>
      <c r="E164" s="7" t="n">
        <f aca="false">E158+E160+E163</f>
        <v>182000</v>
      </c>
      <c r="F164" s="2" t="n">
        <f aca="false">D164/Inputs!$D$4</f>
        <v>948.494880283317</v>
      </c>
    </row>
    <row r="165" customFormat="false" ht="15" hidden="false" customHeight="false" outlineLevel="0" collapsed="false">
      <c r="A165" s="0" t="s">
        <v>598</v>
      </c>
      <c r="B165" s="0" t="s">
        <v>63</v>
      </c>
      <c r="C165" s="2" t="n">
        <f aca="false">C155*(Inputs!C186+Inputs!C188)</f>
        <v>0</v>
      </c>
      <c r="D165" s="2" t="n">
        <f aca="false">D155*(Inputs!D186+Inputs!D188)</f>
        <v>0</v>
      </c>
      <c r="E165" s="2" t="n">
        <f aca="false">E155*(Inputs!E186+Inputs!E188)</f>
        <v>0</v>
      </c>
    </row>
    <row r="166" customFormat="false" ht="15" hidden="false" customHeight="false" outlineLevel="0" collapsed="false">
      <c r="A166" s="0" t="s">
        <v>599</v>
      </c>
      <c r="B166" s="0" t="s">
        <v>63</v>
      </c>
      <c r="C166" s="2" t="n">
        <f aca="false">C165/(1-Inputs!C189)</f>
        <v>0</v>
      </c>
      <c r="D166" s="2" t="n">
        <f aca="false">D165/(1-Inputs!D189)</f>
        <v>0</v>
      </c>
      <c r="E166" s="2" t="n">
        <f aca="false">E165/(1-Inputs!E189)</f>
        <v>0</v>
      </c>
    </row>
    <row r="167" customFormat="false" ht="15" hidden="false" customHeight="false" outlineLevel="0" collapsed="false">
      <c r="A167" s="0" t="s">
        <v>600</v>
      </c>
      <c r="B167" s="0" t="s">
        <v>26</v>
      </c>
      <c r="C167" s="2" t="n">
        <f aca="false">(C166+C161)*Inputs!C197</f>
        <v>32500</v>
      </c>
      <c r="D167" s="2" t="n">
        <f aca="false">(D166+D161)*Inputs!D197</f>
        <v>30000</v>
      </c>
      <c r="E167" s="2" t="n">
        <f aca="false">(E166+E161)*Inputs!E197</f>
        <v>27500</v>
      </c>
      <c r="F167" s="2" t="n">
        <f aca="false">D167/Inputs!$D$4</f>
        <v>230.964662406652</v>
      </c>
    </row>
    <row r="168" customFormat="false" ht="15" hidden="false" customHeight="false" outlineLevel="0" collapsed="false">
      <c r="A168" s="0" t="s">
        <v>601</v>
      </c>
      <c r="B168" s="0" t="s">
        <v>26</v>
      </c>
      <c r="C168" s="2" t="n">
        <f aca="false">C155*Inputs!C184/1000*365*(1-Inputs!C185)*Inputs!C61/70</f>
        <v>0</v>
      </c>
      <c r="D168" s="2" t="n">
        <f aca="false">D155*Inputs!D184/1000*365*(1-Inputs!D185)*Inputs!D61/70</f>
        <v>0</v>
      </c>
      <c r="E168" s="2" t="n">
        <f aca="false">E155*Inputs!E184/1000*365*(1-Inputs!E185)*Inputs!E61/70</f>
        <v>0</v>
      </c>
      <c r="F168" s="2" t="n">
        <f aca="false">D168/Inputs!$D$4</f>
        <v>0</v>
      </c>
    </row>
    <row r="169" customFormat="false" ht="15" hidden="false" customHeight="false" outlineLevel="0" collapsed="false">
      <c r="A169" s="0" t="s">
        <v>602</v>
      </c>
      <c r="B169" s="0" t="s">
        <v>26</v>
      </c>
      <c r="C169" s="2" t="n">
        <f aca="false">C166*Inputs!C190*(1-Inputs!C195)*Inputs!C62/70</f>
        <v>0</v>
      </c>
      <c r="D169" s="2" t="n">
        <f aca="false">D166*Inputs!D190*(1-Inputs!D195)*Inputs!D62/70</f>
        <v>0</v>
      </c>
      <c r="E169" s="2" t="n">
        <f aca="false">E166*Inputs!E190*(1-Inputs!E195)*Inputs!E62/70</f>
        <v>0</v>
      </c>
      <c r="F169" s="2" t="n">
        <f aca="false">D169/Inputs!$D$4</f>
        <v>0</v>
      </c>
    </row>
    <row r="170" customFormat="false" ht="15" hidden="false" customHeight="false" outlineLevel="0" collapsed="false">
      <c r="A170" s="0" t="s">
        <v>603</v>
      </c>
      <c r="B170" s="0" t="s">
        <v>26</v>
      </c>
      <c r="C170" s="2" t="n">
        <f aca="false">C161*Inputs!C194*(1-Inputs!C195)*Inputs!C62/70</f>
        <v>28928.5714285714</v>
      </c>
      <c r="D170" s="2" t="n">
        <f aca="false">D161*Inputs!D194*(1-Inputs!D195)*Inputs!D62/70</f>
        <v>18900</v>
      </c>
      <c r="E170" s="2" t="n">
        <f aca="false">E161*Inputs!E194*(1-Inputs!E195)*Inputs!E62/70</f>
        <v>13371.4285714286</v>
      </c>
      <c r="F170" s="2" t="n">
        <f aca="false">D170/Inputs!$D$4</f>
        <v>145.507737316191</v>
      </c>
    </row>
    <row r="171" customFormat="false" ht="15" hidden="false" customHeight="false" outlineLevel="0" collapsed="false">
      <c r="A171" s="0" t="s">
        <v>604</v>
      </c>
      <c r="B171" s="0" t="s">
        <v>26</v>
      </c>
      <c r="C171" s="2" t="n">
        <f aca="false">C155*Inputs!C191+(C166+C161)*Inputs!C198</f>
        <v>4000</v>
      </c>
      <c r="D171" s="2" t="n">
        <f aca="false">D155*Inputs!D191+(D166+D161)*Inputs!D198</f>
        <v>3000</v>
      </c>
      <c r="E171" s="2" t="n">
        <f aca="false">E155*Inputs!E191+(E166+E161)*Inputs!E198</f>
        <v>2000</v>
      </c>
      <c r="F171" s="2" t="n">
        <f aca="false">D171/Inputs!$D$4</f>
        <v>23.0964662406652</v>
      </c>
    </row>
    <row r="172" customFormat="false" ht="15" hidden="false" customHeight="false" outlineLevel="0" collapsed="false">
      <c r="A172" s="0" t="s">
        <v>605</v>
      </c>
      <c r="B172" s="0" t="s">
        <v>26</v>
      </c>
      <c r="C172" s="2" t="n">
        <f aca="false">(C166+C161)*Inputs!C66</f>
        <v>1000</v>
      </c>
      <c r="D172" s="2" t="n">
        <f aca="false">(D166+D161)*Inputs!D66</f>
        <v>750</v>
      </c>
      <c r="E172" s="2" t="n">
        <f aca="false">(E166+E161)*Inputs!E66</f>
        <v>600</v>
      </c>
      <c r="F172" s="2" t="n">
        <f aca="false">D172/Inputs!$D$4</f>
        <v>5.7741165601663</v>
      </c>
    </row>
    <row r="173" customFormat="false" ht="15" hidden="false" customHeight="false" outlineLevel="0" collapsed="false">
      <c r="A173" s="0" t="s">
        <v>606</v>
      </c>
      <c r="B173" s="0" t="s">
        <v>26</v>
      </c>
      <c r="C173" s="2" t="n">
        <f aca="false">C157/30*Inputs!C64</f>
        <v>0</v>
      </c>
      <c r="D173" s="2" t="n">
        <f aca="false">D157/30*Inputs!D64</f>
        <v>0</v>
      </c>
      <c r="E173" s="2" t="n">
        <f aca="false">E157/30*Inputs!E64</f>
        <v>0</v>
      </c>
      <c r="F173" s="2" t="n">
        <f aca="false">D173/Inputs!$D$4</f>
        <v>0</v>
      </c>
    </row>
    <row r="174" customFormat="false" ht="15" hidden="false" customHeight="false" outlineLevel="0" collapsed="false">
      <c r="A174" s="0" t="s">
        <v>607</v>
      </c>
      <c r="B174" s="0" t="s">
        <v>26</v>
      </c>
      <c r="C174" s="2" t="n">
        <f aca="false">C158*Inputs!C63+(C160+C163)*Inputs!C65</f>
        <v>4100</v>
      </c>
      <c r="D174" s="2" t="n">
        <f aca="false">D158*Inputs!D63+(D160+D163)*Inputs!D65</f>
        <v>4928</v>
      </c>
      <c r="E174" s="2" t="n">
        <f aca="false">E158*Inputs!E63+(E160+E163)*Inputs!E65</f>
        <v>5460</v>
      </c>
      <c r="F174" s="2" t="n">
        <f aca="false">D174/Inputs!$D$4</f>
        <v>37.9397952113327</v>
      </c>
    </row>
    <row r="175" customFormat="false" ht="15" hidden="false" customHeight="false" outlineLevel="0" collapsed="false">
      <c r="A175" s="1" t="s">
        <v>569</v>
      </c>
      <c r="B175" s="6" t="s">
        <v>26</v>
      </c>
      <c r="C175" s="7" t="n">
        <f aca="false">C167+C168+C169+C170+C171+C172+C173+C174</f>
        <v>70528.5714285714</v>
      </c>
      <c r="D175" s="7" t="n">
        <f aca="false">D167+D168+D169+D170+D171+D172+D173+D174</f>
        <v>57578</v>
      </c>
      <c r="E175" s="7" t="n">
        <f aca="false">E167+E168+E169+E170+E171+E172+E173+E174</f>
        <v>48931.4285714286</v>
      </c>
      <c r="F175" s="2" t="n">
        <f aca="false">D175/Inputs!$D$4</f>
        <v>443.282777735007</v>
      </c>
    </row>
    <row r="176" customFormat="false" ht="15" hidden="false" customHeight="false" outlineLevel="0" collapsed="false">
      <c r="A176" s="1" t="s">
        <v>28</v>
      </c>
      <c r="B176" s="6" t="s">
        <v>26</v>
      </c>
      <c r="C176" s="7" t="n">
        <f aca="false">C164-C175</f>
        <v>11471.4285714286</v>
      </c>
      <c r="D176" s="7" t="n">
        <f aca="false">D164-D175</f>
        <v>65622</v>
      </c>
      <c r="E176" s="7" t="n">
        <f aca="false">E164-E175</f>
        <v>133068.571428571</v>
      </c>
      <c r="F176" s="2" t="n">
        <f aca="false">D176/Inputs!$D$4</f>
        <v>505.21210254831</v>
      </c>
    </row>
    <row r="177" customFormat="false" ht="15" hidden="false" customHeight="false" outlineLevel="0" collapsed="false">
      <c r="A177" s="0" t="s">
        <v>608</v>
      </c>
      <c r="B177" s="0" t="s">
        <v>105</v>
      </c>
      <c r="C177" s="2" t="n">
        <f aca="false">C176/C154</f>
        <v>229.428571428572</v>
      </c>
      <c r="D177" s="2" t="n">
        <f aca="false">D176/D154</f>
        <v>1312.44</v>
      </c>
      <c r="E177" s="2" t="n">
        <f aca="false">E176/E154</f>
        <v>2661.37142857143</v>
      </c>
    </row>
    <row r="178" customFormat="false" ht="15" hidden="false" customHeight="false" outlineLevel="0" collapsed="false">
      <c r="A178" s="0" t="s">
        <v>609</v>
      </c>
      <c r="B178" s="0" t="s">
        <v>105</v>
      </c>
      <c r="C178" s="2" t="n">
        <f aca="false">Inputs!C181*(1-Inputs!C182)*(Inputs!C183*(1-Inputs!C63)-Inputs!C64/30)+Inputs!C186*Inputs!C187*(1-Inputs!C65)-(Inputs!C186+Inputs!C188)/(1-Inputs!C189)*(Inputs!C197+Inputs!C66+Inputs!C198+Inputs!C190*(1-Inputs!C195)*Inputs!C62/70)-Inputs!C184/1000*365*(1-Inputs!C185)*Inputs!C61/70-Inputs!C191</f>
        <v>0</v>
      </c>
      <c r="D178" s="2" t="n">
        <f aca="false">Inputs!D181*(1-Inputs!D182)*(Inputs!D183*(1-Inputs!D63)-Inputs!D64/30)+Inputs!D186*Inputs!D187*(1-Inputs!D65)-(Inputs!D186+Inputs!D188)/(1-Inputs!D189)*(Inputs!D197+Inputs!D66+Inputs!D198+Inputs!D190*(1-Inputs!D195)*Inputs!D62/70)-Inputs!D184/1000*365*(1-Inputs!D185)*Inputs!D61/70-Inputs!D191</f>
        <v>0</v>
      </c>
      <c r="E178" s="2" t="n">
        <f aca="false">Inputs!E181*(1-Inputs!E182)*(Inputs!E183*(1-Inputs!E63)-Inputs!E64/30)+Inputs!E186*Inputs!E187*(1-Inputs!E65)-(Inputs!E186+Inputs!E188)/(1-Inputs!E189)*(Inputs!E197+Inputs!E66+Inputs!E198+Inputs!E190*(1-Inputs!E195)*Inputs!E62/70)-Inputs!E184/1000*365*(1-Inputs!E185)*Inputs!E61/70-Inputs!E191</f>
        <v>0</v>
      </c>
    </row>
    <row r="179" customFormat="false" ht="15" hidden="false" customHeight="false" outlineLevel="0" collapsed="false">
      <c r="A179" s="0" t="s">
        <v>610</v>
      </c>
      <c r="B179" s="0" t="s">
        <v>105</v>
      </c>
      <c r="C179" s="2" t="n">
        <f aca="false">Inputs!C192*((1-Inputs!C193)*Inputs!C196*(1-Inputs!C65)-Inputs!C197-Inputs!C66-Inputs!C198-Inputs!C194*(1-Inputs!C195)*Inputs!C62/70)</f>
        <v>229.428571428572</v>
      </c>
      <c r="D179" s="2" t="n">
        <f aca="false">Inputs!D192*((1-Inputs!D193)*Inputs!D196*(1-Inputs!D65)-Inputs!D197-Inputs!D66-Inputs!D198-Inputs!D194*(1-Inputs!D195)*Inputs!D62/70)</f>
        <v>1312.44</v>
      </c>
      <c r="E179" s="2" t="n">
        <f aca="false">Inputs!E192*((1-Inputs!E193)*Inputs!E196*(1-Inputs!E65)-Inputs!E197-Inputs!E66-Inputs!E198-Inputs!E194*(1-Inputs!E195)*Inputs!E62/70)</f>
        <v>2661.37142857143</v>
      </c>
    </row>
    <row r="180" customFormat="false" ht="15" hidden="false" customHeight="false" outlineLevel="0" collapsed="false">
      <c r="A180" s="0" t="s">
        <v>611</v>
      </c>
      <c r="B180" s="0" t="s">
        <v>26</v>
      </c>
      <c r="C180" s="2" t="n">
        <f aca="false">C176-(C155*C178+C156*C179)</f>
        <v>0</v>
      </c>
      <c r="D180" s="2" t="n">
        <f aca="false">D176-(D155*D178+D156*D179)</f>
        <v>0</v>
      </c>
      <c r="E180" s="2" t="n">
        <f aca="false">E176-(E155*E178+E156*E179)</f>
        <v>0</v>
      </c>
      <c r="F180" s="2" t="n">
        <f aca="false">D180/Inputs!$D$4</f>
        <v>0</v>
      </c>
    </row>
    <row r="181" customFormat="false" ht="15" hidden="false" customHeight="false" outlineLevel="0" collapsed="false">
      <c r="A181" s="0" t="s">
        <v>573</v>
      </c>
      <c r="B181" s="0" t="s">
        <v>26</v>
      </c>
      <c r="C181" s="2" t="n">
        <f aca="false">Inputs!C179*Inputs!C199</f>
        <v>75000</v>
      </c>
      <c r="D181" s="2" t="n">
        <f aca="false">Inputs!D179*Inputs!D199</f>
        <v>75000</v>
      </c>
      <c r="E181" s="2" t="n">
        <f aca="false">Inputs!E179*Inputs!E199</f>
        <v>75000</v>
      </c>
      <c r="F181" s="2" t="n">
        <f aca="false">D181/Inputs!$D$4</f>
        <v>577.41165601663</v>
      </c>
    </row>
    <row r="182" customFormat="false" ht="15" hidden="false" customHeight="false" outlineLevel="0" collapsed="false">
      <c r="A182" s="0" t="s">
        <v>583</v>
      </c>
      <c r="B182" s="0" t="s">
        <v>26</v>
      </c>
      <c r="C182" s="2" t="n">
        <f aca="false">C168+C169+C170</f>
        <v>28928.5714285714</v>
      </c>
      <c r="D182" s="2" t="n">
        <f aca="false">D168+D169+D170</f>
        <v>18900</v>
      </c>
      <c r="E182" s="2" t="n">
        <f aca="false">E168+E169+E170</f>
        <v>13371.4285714286</v>
      </c>
      <c r="F182" s="2" t="n">
        <f aca="false">D182/Inputs!$D$4</f>
        <v>145.507737316191</v>
      </c>
    </row>
    <row r="183" customFormat="false" ht="15" hidden="false" customHeight="false" outlineLevel="0" collapsed="false">
      <c r="A183" s="4" t="s">
        <v>55</v>
      </c>
      <c r="B183" s="5"/>
      <c r="C183" s="5"/>
      <c r="D183" s="5"/>
      <c r="E183" s="5"/>
      <c r="F183" s="5"/>
      <c r="G183" s="5"/>
    </row>
    <row r="184" customFormat="false" ht="15" hidden="false" customHeight="false" outlineLevel="0" collapsed="false">
      <c r="A184" s="0" t="s">
        <v>62</v>
      </c>
      <c r="B184" s="0" t="s">
        <v>63</v>
      </c>
      <c r="C184" s="2" t="n">
        <f aca="false">Inputs!C201</f>
        <v>20</v>
      </c>
      <c r="D184" s="2" t="n">
        <f aca="false">Inputs!D201</f>
        <v>20</v>
      </c>
      <c r="E184" s="2" t="n">
        <f aca="false">Inputs!E201</f>
        <v>20</v>
      </c>
    </row>
    <row r="185" customFormat="false" ht="15" hidden="false" customHeight="false" outlineLevel="0" collapsed="false">
      <c r="A185" s="0" t="s">
        <v>588</v>
      </c>
      <c r="B185" s="0" t="s">
        <v>63</v>
      </c>
      <c r="C185" s="2" t="n">
        <f aca="false">Inputs!C201*Inputs!C202</f>
        <v>0</v>
      </c>
      <c r="D185" s="2" t="n">
        <f aca="false">Inputs!D201*Inputs!D202</f>
        <v>0</v>
      </c>
      <c r="E185" s="2" t="n">
        <f aca="false">Inputs!E201*Inputs!E202</f>
        <v>0</v>
      </c>
    </row>
    <row r="186" customFormat="false" ht="15" hidden="false" customHeight="false" outlineLevel="0" collapsed="false">
      <c r="A186" s="0" t="s">
        <v>589</v>
      </c>
      <c r="B186" s="0" t="s">
        <v>63</v>
      </c>
      <c r="C186" s="2" t="n">
        <f aca="false">Inputs!C201-C185</f>
        <v>20</v>
      </c>
      <c r="D186" s="2" t="n">
        <f aca="false">Inputs!D201-D185</f>
        <v>20</v>
      </c>
      <c r="E186" s="2" t="n">
        <f aca="false">Inputs!E201-E185</f>
        <v>20</v>
      </c>
    </row>
    <row r="187" customFormat="false" ht="15" hidden="false" customHeight="false" outlineLevel="0" collapsed="false">
      <c r="A187" s="0" t="s">
        <v>590</v>
      </c>
      <c r="B187" s="0" t="s">
        <v>591</v>
      </c>
      <c r="C187" s="2" t="n">
        <f aca="false">C185*Inputs!C203*(1-Inputs!C204)</f>
        <v>0</v>
      </c>
      <c r="D187" s="2" t="n">
        <f aca="false">D185*Inputs!D203*(1-Inputs!D204)</f>
        <v>0</v>
      </c>
      <c r="E187" s="2" t="n">
        <f aca="false">E185*Inputs!E203*(1-Inputs!E204)</f>
        <v>0</v>
      </c>
    </row>
    <row r="188" customFormat="false" ht="15" hidden="false" customHeight="false" outlineLevel="0" collapsed="false">
      <c r="A188" s="0" t="s">
        <v>592</v>
      </c>
      <c r="B188" s="0" t="s">
        <v>26</v>
      </c>
      <c r="C188" s="2" t="n">
        <f aca="false">C187*Inputs!C205</f>
        <v>0</v>
      </c>
      <c r="D188" s="2" t="n">
        <f aca="false">D187*Inputs!D205</f>
        <v>0</v>
      </c>
      <c r="E188" s="2" t="n">
        <f aca="false">E187*Inputs!E205</f>
        <v>0</v>
      </c>
      <c r="F188" s="2" t="n">
        <f aca="false">D188/Inputs!$D$4</f>
        <v>0</v>
      </c>
    </row>
    <row r="189" customFormat="false" ht="15" hidden="false" customHeight="false" outlineLevel="0" collapsed="false">
      <c r="A189" s="0" t="s">
        <v>593</v>
      </c>
      <c r="B189" s="0" t="s">
        <v>63</v>
      </c>
      <c r="C189" s="2" t="n">
        <f aca="false">C185*Inputs!C208</f>
        <v>0</v>
      </c>
      <c r="D189" s="2" t="n">
        <f aca="false">D185*Inputs!D208</f>
        <v>0</v>
      </c>
      <c r="E189" s="2" t="n">
        <f aca="false">E185*Inputs!E208</f>
        <v>0</v>
      </c>
    </row>
    <row r="190" customFormat="false" ht="15" hidden="false" customHeight="false" outlineLevel="0" collapsed="false">
      <c r="A190" s="0" t="s">
        <v>594</v>
      </c>
      <c r="B190" s="0" t="s">
        <v>26</v>
      </c>
      <c r="C190" s="2" t="n">
        <f aca="false">C189*Inputs!C209</f>
        <v>0</v>
      </c>
      <c r="D190" s="2" t="n">
        <f aca="false">D189*Inputs!D209</f>
        <v>0</v>
      </c>
      <c r="E190" s="2" t="n">
        <f aca="false">E189*Inputs!E209</f>
        <v>0</v>
      </c>
      <c r="F190" s="2" t="n">
        <f aca="false">D190/Inputs!$D$4</f>
        <v>0</v>
      </c>
    </row>
    <row r="191" customFormat="false" ht="15" hidden="false" customHeight="false" outlineLevel="0" collapsed="false">
      <c r="A191" s="0" t="s">
        <v>595</v>
      </c>
      <c r="B191" s="0" t="s">
        <v>63</v>
      </c>
      <c r="C191" s="2" t="n">
        <f aca="false">C186*Inputs!C214</f>
        <v>30</v>
      </c>
      <c r="D191" s="2" t="n">
        <f aca="false">D186*Inputs!D214</f>
        <v>30</v>
      </c>
      <c r="E191" s="2" t="n">
        <f aca="false">E186*Inputs!E214</f>
        <v>30</v>
      </c>
    </row>
    <row r="192" customFormat="false" ht="15" hidden="false" customHeight="false" outlineLevel="0" collapsed="false">
      <c r="A192" s="0" t="s">
        <v>596</v>
      </c>
      <c r="B192" s="0" t="s">
        <v>63</v>
      </c>
      <c r="C192" s="2" t="n">
        <f aca="false">C191*(1-Inputs!C215)</f>
        <v>24</v>
      </c>
      <c r="D192" s="2" t="n">
        <f aca="false">D191*(1-Inputs!D215)</f>
        <v>25.5</v>
      </c>
      <c r="E192" s="2" t="n">
        <f aca="false">E191*(1-Inputs!E215)</f>
        <v>27</v>
      </c>
    </row>
    <row r="193" customFormat="false" ht="15" hidden="false" customHeight="false" outlineLevel="0" collapsed="false">
      <c r="A193" s="0" t="s">
        <v>597</v>
      </c>
      <c r="B193" s="0" t="s">
        <v>26</v>
      </c>
      <c r="C193" s="2" t="n">
        <f aca="false">C192*Inputs!C218</f>
        <v>67200</v>
      </c>
      <c r="D193" s="2" t="n">
        <f aca="false">D192*Inputs!D218</f>
        <v>89250</v>
      </c>
      <c r="E193" s="2" t="n">
        <f aca="false">E192*Inputs!E218</f>
        <v>113400</v>
      </c>
      <c r="F193" s="2" t="n">
        <f aca="false">D193/Inputs!$D$4</f>
        <v>687.119870659789</v>
      </c>
    </row>
    <row r="194" customFormat="false" ht="15" hidden="false" customHeight="false" outlineLevel="0" collapsed="false">
      <c r="A194" s="1" t="s">
        <v>562</v>
      </c>
      <c r="B194" s="6" t="s">
        <v>26</v>
      </c>
      <c r="C194" s="7" t="n">
        <f aca="false">C188+C190+C193</f>
        <v>67200</v>
      </c>
      <c r="D194" s="7" t="n">
        <f aca="false">D188+D190+D193</f>
        <v>89250</v>
      </c>
      <c r="E194" s="7" t="n">
        <f aca="false">E188+E190+E193</f>
        <v>113400</v>
      </c>
      <c r="F194" s="2" t="n">
        <f aca="false">D194/Inputs!$D$4</f>
        <v>687.119870659789</v>
      </c>
    </row>
    <row r="195" customFormat="false" ht="15" hidden="false" customHeight="false" outlineLevel="0" collapsed="false">
      <c r="A195" s="0" t="s">
        <v>598</v>
      </c>
      <c r="B195" s="0" t="s">
        <v>63</v>
      </c>
      <c r="C195" s="2" t="n">
        <f aca="false">C185*(Inputs!C208+Inputs!C210)</f>
        <v>0</v>
      </c>
      <c r="D195" s="2" t="n">
        <f aca="false">D185*(Inputs!D208+Inputs!D210)</f>
        <v>0</v>
      </c>
      <c r="E195" s="2" t="n">
        <f aca="false">E185*(Inputs!E208+Inputs!E210)</f>
        <v>0</v>
      </c>
    </row>
    <row r="196" customFormat="false" ht="15" hidden="false" customHeight="false" outlineLevel="0" collapsed="false">
      <c r="A196" s="0" t="s">
        <v>599</v>
      </c>
      <c r="B196" s="0" t="s">
        <v>63</v>
      </c>
      <c r="C196" s="2" t="n">
        <f aca="false">C195/(1-Inputs!C211)</f>
        <v>0</v>
      </c>
      <c r="D196" s="2" t="n">
        <f aca="false">D195/(1-Inputs!D211)</f>
        <v>0</v>
      </c>
      <c r="E196" s="2" t="n">
        <f aca="false">E195/(1-Inputs!E211)</f>
        <v>0</v>
      </c>
    </row>
    <row r="197" customFormat="false" ht="15" hidden="false" customHeight="false" outlineLevel="0" collapsed="false">
      <c r="A197" s="0" t="s">
        <v>600</v>
      </c>
      <c r="B197" s="0" t="s">
        <v>26</v>
      </c>
      <c r="C197" s="2" t="n">
        <f aca="false">(C196+C191)*Inputs!C219</f>
        <v>10500</v>
      </c>
      <c r="D197" s="2" t="n">
        <f aca="false">(D196+D191)*Inputs!D219</f>
        <v>9000</v>
      </c>
      <c r="E197" s="2" t="n">
        <f aca="false">(E196+E191)*Inputs!E219</f>
        <v>7500</v>
      </c>
      <c r="F197" s="2" t="n">
        <f aca="false">D197/Inputs!$D$4</f>
        <v>69.2893987219955</v>
      </c>
    </row>
    <row r="198" customFormat="false" ht="15" hidden="false" customHeight="false" outlineLevel="0" collapsed="false">
      <c r="A198" s="0" t="s">
        <v>601</v>
      </c>
      <c r="B198" s="0" t="s">
        <v>26</v>
      </c>
      <c r="C198" s="2" t="n">
        <f aca="false">C185*Inputs!C206/1000*365*(1-Inputs!C207)*Inputs!C61/70</f>
        <v>0</v>
      </c>
      <c r="D198" s="2" t="n">
        <f aca="false">D185*Inputs!D206/1000*365*(1-Inputs!D207)*Inputs!D61/70</f>
        <v>0</v>
      </c>
      <c r="E198" s="2" t="n">
        <f aca="false">E185*Inputs!E206/1000*365*(1-Inputs!E207)*Inputs!E61/70</f>
        <v>0</v>
      </c>
      <c r="F198" s="2" t="n">
        <f aca="false">D198/Inputs!$D$4</f>
        <v>0</v>
      </c>
    </row>
    <row r="199" customFormat="false" ht="15" hidden="false" customHeight="false" outlineLevel="0" collapsed="false">
      <c r="A199" s="0" t="s">
        <v>602</v>
      </c>
      <c r="B199" s="0" t="s">
        <v>26</v>
      </c>
      <c r="C199" s="2" t="n">
        <f aca="false">C196*Inputs!C212*(1-Inputs!C217)*Inputs!C62/70</f>
        <v>0</v>
      </c>
      <c r="D199" s="2" t="n">
        <f aca="false">D196*Inputs!D212*(1-Inputs!D217)*Inputs!D62/70</f>
        <v>0</v>
      </c>
      <c r="E199" s="2" t="n">
        <f aca="false">E196*Inputs!E212*(1-Inputs!E217)*Inputs!E62/70</f>
        <v>0</v>
      </c>
      <c r="F199" s="2" t="n">
        <f aca="false">D199/Inputs!$D$4</f>
        <v>0</v>
      </c>
    </row>
    <row r="200" customFormat="false" ht="15" hidden="false" customHeight="false" outlineLevel="0" collapsed="false">
      <c r="A200" s="0" t="s">
        <v>603</v>
      </c>
      <c r="B200" s="0" t="s">
        <v>26</v>
      </c>
      <c r="C200" s="2" t="n">
        <f aca="false">C191*Inputs!C216*(1-Inputs!C217)*Inputs!C62/70</f>
        <v>46285.7142857143</v>
      </c>
      <c r="D200" s="2" t="n">
        <f aca="false">D191*Inputs!D216*(1-Inputs!D217)*Inputs!D62/70</f>
        <v>37800</v>
      </c>
      <c r="E200" s="2" t="n">
        <f aca="false">E191*Inputs!E216*(1-Inputs!E217)*Inputs!E62/70</f>
        <v>28080</v>
      </c>
      <c r="F200" s="2" t="n">
        <f aca="false">D200/Inputs!$D$4</f>
        <v>291.015474632381</v>
      </c>
    </row>
    <row r="201" customFormat="false" ht="15" hidden="false" customHeight="false" outlineLevel="0" collapsed="false">
      <c r="A201" s="0" t="s">
        <v>604</v>
      </c>
      <c r="B201" s="0" t="s">
        <v>26</v>
      </c>
      <c r="C201" s="2" t="n">
        <f aca="false">C185*Inputs!C213+(C196+C191)*Inputs!C220</f>
        <v>3000</v>
      </c>
      <c r="D201" s="2" t="n">
        <f aca="false">D185*Inputs!D213+(D196+D191)*Inputs!D220</f>
        <v>2400</v>
      </c>
      <c r="E201" s="2" t="n">
        <f aca="false">E185*Inputs!E213+(E196+E191)*Inputs!E220</f>
        <v>1800</v>
      </c>
      <c r="F201" s="2" t="n">
        <f aca="false">D201/Inputs!$D$4</f>
        <v>18.4771729925321</v>
      </c>
    </row>
    <row r="202" customFormat="false" ht="15" hidden="false" customHeight="false" outlineLevel="0" collapsed="false">
      <c r="A202" s="0" t="s">
        <v>605</v>
      </c>
      <c r="B202" s="0" t="s">
        <v>26</v>
      </c>
      <c r="C202" s="2" t="n">
        <f aca="false">(C196+C191)*Inputs!C66</f>
        <v>600</v>
      </c>
      <c r="D202" s="2" t="n">
        <f aca="false">(D196+D191)*Inputs!D66</f>
        <v>450</v>
      </c>
      <c r="E202" s="2" t="n">
        <f aca="false">(E196+E191)*Inputs!E66</f>
        <v>360</v>
      </c>
      <c r="F202" s="2" t="n">
        <f aca="false">D202/Inputs!$D$4</f>
        <v>3.46446993609978</v>
      </c>
    </row>
    <row r="203" customFormat="false" ht="15" hidden="false" customHeight="false" outlineLevel="0" collapsed="false">
      <c r="A203" s="0" t="s">
        <v>606</v>
      </c>
      <c r="B203" s="0" t="s">
        <v>26</v>
      </c>
      <c r="C203" s="2" t="n">
        <f aca="false">C187/30*Inputs!C64</f>
        <v>0</v>
      </c>
      <c r="D203" s="2" t="n">
        <f aca="false">D187/30*Inputs!D64</f>
        <v>0</v>
      </c>
      <c r="E203" s="2" t="n">
        <f aca="false">E187/30*Inputs!E64</f>
        <v>0</v>
      </c>
      <c r="F203" s="2" t="n">
        <f aca="false">D203/Inputs!$D$4</f>
        <v>0</v>
      </c>
    </row>
    <row r="204" customFormat="false" ht="15" hidden="false" customHeight="false" outlineLevel="0" collapsed="false">
      <c r="A204" s="0" t="s">
        <v>607</v>
      </c>
      <c r="B204" s="0" t="s">
        <v>26</v>
      </c>
      <c r="C204" s="2" t="n">
        <f aca="false">C188*Inputs!C63+(C190+C193)*Inputs!C65</f>
        <v>3360</v>
      </c>
      <c r="D204" s="2" t="n">
        <f aca="false">D188*Inputs!D63+(D190+D193)*Inputs!D65</f>
        <v>3570</v>
      </c>
      <c r="E204" s="2" t="n">
        <f aca="false">E188*Inputs!E63+(E190+E193)*Inputs!E65</f>
        <v>3402</v>
      </c>
      <c r="F204" s="2" t="n">
        <f aca="false">D204/Inputs!$D$4</f>
        <v>27.4847948263916</v>
      </c>
    </row>
    <row r="205" customFormat="false" ht="15" hidden="false" customHeight="false" outlineLevel="0" collapsed="false">
      <c r="A205" s="1" t="s">
        <v>569</v>
      </c>
      <c r="B205" s="6" t="s">
        <v>26</v>
      </c>
      <c r="C205" s="7" t="n">
        <f aca="false">C197+C198+C199+C200+C201+C202+C203+C204</f>
        <v>63745.7142857143</v>
      </c>
      <c r="D205" s="7" t="n">
        <f aca="false">D197+D198+D199+D200+D201+D202+D203+D204</f>
        <v>53220</v>
      </c>
      <c r="E205" s="7" t="n">
        <f aca="false">E197+E198+E199+E200+E201+E202+E203+E204</f>
        <v>41142</v>
      </c>
      <c r="F205" s="2" t="n">
        <f aca="false">D205/Inputs!$D$4</f>
        <v>409.7313111094</v>
      </c>
    </row>
    <row r="206" customFormat="false" ht="15" hidden="false" customHeight="false" outlineLevel="0" collapsed="false">
      <c r="A206" s="1" t="s">
        <v>28</v>
      </c>
      <c r="B206" s="6" t="s">
        <v>26</v>
      </c>
      <c r="C206" s="7" t="n">
        <f aca="false">C194-C205</f>
        <v>3454.28571428572</v>
      </c>
      <c r="D206" s="7" t="n">
        <f aca="false">D194-D205</f>
        <v>36030</v>
      </c>
      <c r="E206" s="7" t="n">
        <f aca="false">E194-E205</f>
        <v>72258</v>
      </c>
      <c r="F206" s="2" t="n">
        <f aca="false">D206/Inputs!$D$4</f>
        <v>277.388559550389</v>
      </c>
    </row>
    <row r="207" customFormat="false" ht="15" hidden="false" customHeight="false" outlineLevel="0" collapsed="false">
      <c r="A207" s="0" t="s">
        <v>608</v>
      </c>
      <c r="B207" s="0" t="s">
        <v>105</v>
      </c>
      <c r="C207" s="2" t="n">
        <f aca="false">C206/C184</f>
        <v>172.714285714286</v>
      </c>
      <c r="D207" s="2" t="n">
        <f aca="false">D206/D184</f>
        <v>1801.5</v>
      </c>
      <c r="E207" s="2" t="n">
        <f aca="false">E206/E184</f>
        <v>3612.9</v>
      </c>
    </row>
    <row r="208" customFormat="false" ht="15" hidden="false" customHeight="false" outlineLevel="0" collapsed="false">
      <c r="A208" s="0" t="s">
        <v>609</v>
      </c>
      <c r="B208" s="0" t="s">
        <v>105</v>
      </c>
      <c r="C208" s="2" t="n">
        <f aca="false">Inputs!C203*(1-Inputs!C204)*(Inputs!C205*(1-Inputs!C63)-Inputs!C64/30)+Inputs!C208*Inputs!C209*(1-Inputs!C65)-(Inputs!C208+Inputs!C210)/(1-Inputs!C211)*(Inputs!C219+Inputs!C66+Inputs!C220+Inputs!C212*(1-Inputs!C217)*Inputs!C62/70)-Inputs!C206/1000*365*(1-Inputs!C207)*Inputs!C61/70-Inputs!C213</f>
        <v>0</v>
      </c>
      <c r="D208" s="2" t="n">
        <f aca="false">Inputs!D203*(1-Inputs!D204)*(Inputs!D205*(1-Inputs!D63)-Inputs!D64/30)+Inputs!D208*Inputs!D209*(1-Inputs!D65)-(Inputs!D208+Inputs!D210)/(1-Inputs!D211)*(Inputs!D219+Inputs!D66+Inputs!D220+Inputs!D212*(1-Inputs!D217)*Inputs!D62/70)-Inputs!D206/1000*365*(1-Inputs!D207)*Inputs!D61/70-Inputs!D213</f>
        <v>0</v>
      </c>
      <c r="E208" s="2" t="n">
        <f aca="false">Inputs!E203*(1-Inputs!E204)*(Inputs!E205*(1-Inputs!E63)-Inputs!E64/30)+Inputs!E208*Inputs!E209*(1-Inputs!E65)-(Inputs!E208+Inputs!E210)/(1-Inputs!E211)*(Inputs!E219+Inputs!E66+Inputs!E220+Inputs!E212*(1-Inputs!E217)*Inputs!E62/70)-Inputs!E206/1000*365*(1-Inputs!E207)*Inputs!E61/70-Inputs!E213</f>
        <v>0</v>
      </c>
    </row>
    <row r="209" customFormat="false" ht="15" hidden="false" customHeight="false" outlineLevel="0" collapsed="false">
      <c r="A209" s="0" t="s">
        <v>610</v>
      </c>
      <c r="B209" s="0" t="s">
        <v>105</v>
      </c>
      <c r="C209" s="2" t="n">
        <f aca="false">Inputs!C214*((1-Inputs!C215)*Inputs!C218*(1-Inputs!C65)-Inputs!C219-Inputs!C66-Inputs!C220-Inputs!C216*(1-Inputs!C217)*Inputs!C62/70)</f>
        <v>172.714285714286</v>
      </c>
      <c r="D209" s="2" t="n">
        <f aca="false">Inputs!D214*((1-Inputs!D215)*Inputs!D218*(1-Inputs!D65)-Inputs!D219-Inputs!D66-Inputs!D220-Inputs!D216*(1-Inputs!D217)*Inputs!D62/70)</f>
        <v>1801.5</v>
      </c>
      <c r="E209" s="2" t="n">
        <f aca="false">Inputs!E214*((1-Inputs!E215)*Inputs!E218*(1-Inputs!E65)-Inputs!E219-Inputs!E66-Inputs!E220-Inputs!E216*(1-Inputs!E217)*Inputs!E62/70)</f>
        <v>3612.9</v>
      </c>
    </row>
    <row r="210" customFormat="false" ht="15" hidden="false" customHeight="false" outlineLevel="0" collapsed="false">
      <c r="A210" s="0" t="s">
        <v>611</v>
      </c>
      <c r="B210" s="0" t="s">
        <v>26</v>
      </c>
      <c r="C210" s="2" t="n">
        <f aca="false">C206-(C185*C208+C186*C209)</f>
        <v>0</v>
      </c>
      <c r="D210" s="2" t="n">
        <f aca="false">D206-(D185*D208+D186*D209)</f>
        <v>0</v>
      </c>
      <c r="E210" s="2" t="n">
        <f aca="false">E206-(E185*E208+E186*E209)</f>
        <v>0</v>
      </c>
      <c r="F210" s="2" t="n">
        <f aca="false">D210/Inputs!$D$4</f>
        <v>0</v>
      </c>
    </row>
    <row r="211" customFormat="false" ht="15" hidden="false" customHeight="false" outlineLevel="0" collapsed="false">
      <c r="A211" s="0" t="s">
        <v>573</v>
      </c>
      <c r="B211" s="0" t="s">
        <v>26</v>
      </c>
      <c r="C211" s="2" t="n">
        <f aca="false">Inputs!C201*Inputs!C221</f>
        <v>60000</v>
      </c>
      <c r="D211" s="2" t="n">
        <f aca="false">Inputs!D201*Inputs!D221</f>
        <v>60000</v>
      </c>
      <c r="E211" s="2" t="n">
        <f aca="false">Inputs!E201*Inputs!E221</f>
        <v>60000</v>
      </c>
      <c r="F211" s="2" t="n">
        <f aca="false">D211/Inputs!$D$4</f>
        <v>461.929324813304</v>
      </c>
    </row>
    <row r="212" customFormat="false" ht="15" hidden="false" customHeight="false" outlineLevel="0" collapsed="false">
      <c r="A212" s="0" t="s">
        <v>583</v>
      </c>
      <c r="B212" s="0" t="s">
        <v>26</v>
      </c>
      <c r="C212" s="2" t="n">
        <f aca="false">C198+C199+C200</f>
        <v>46285.7142857143</v>
      </c>
      <c r="D212" s="2" t="n">
        <f aca="false">D198+D199+D200</f>
        <v>37800</v>
      </c>
      <c r="E212" s="2" t="n">
        <f aca="false">E198+E199+E200</f>
        <v>28080</v>
      </c>
      <c r="F212" s="2" t="n">
        <f aca="false">D212/Inputs!$D$4</f>
        <v>291.015474632381</v>
      </c>
    </row>
    <row r="213" customFormat="false" ht="15" hidden="false" customHeight="false" outlineLevel="0" collapsed="false">
      <c r="A213" s="4" t="s">
        <v>56</v>
      </c>
      <c r="B213" s="5"/>
      <c r="C213" s="5"/>
      <c r="D213" s="5"/>
      <c r="E213" s="5"/>
      <c r="F213" s="5"/>
      <c r="G213" s="5"/>
    </row>
    <row r="214" customFormat="false" ht="15" hidden="false" customHeight="false" outlineLevel="0" collapsed="false">
      <c r="A214" s="0" t="s">
        <v>62</v>
      </c>
      <c r="B214" s="0" t="s">
        <v>63</v>
      </c>
      <c r="C214" s="2" t="n">
        <f aca="false">Inputs!C223</f>
        <v>100</v>
      </c>
      <c r="D214" s="2" t="n">
        <f aca="false">Inputs!D223</f>
        <v>100</v>
      </c>
      <c r="E214" s="2" t="n">
        <f aca="false">Inputs!E223</f>
        <v>100</v>
      </c>
    </row>
    <row r="215" customFormat="false" ht="15" hidden="false" customHeight="false" outlineLevel="0" collapsed="false">
      <c r="A215" s="0" t="s">
        <v>588</v>
      </c>
      <c r="B215" s="0" t="s">
        <v>63</v>
      </c>
      <c r="C215" s="2" t="n">
        <f aca="false">Inputs!C223*Inputs!C224</f>
        <v>0</v>
      </c>
      <c r="D215" s="2" t="n">
        <f aca="false">Inputs!D223*Inputs!D224</f>
        <v>0</v>
      </c>
      <c r="E215" s="2" t="n">
        <f aca="false">Inputs!E223*Inputs!E224</f>
        <v>0</v>
      </c>
    </row>
    <row r="216" customFormat="false" ht="15" hidden="false" customHeight="false" outlineLevel="0" collapsed="false">
      <c r="A216" s="0" t="s">
        <v>589</v>
      </c>
      <c r="B216" s="0" t="s">
        <v>63</v>
      </c>
      <c r="C216" s="2" t="n">
        <f aca="false">Inputs!C223-C215</f>
        <v>100</v>
      </c>
      <c r="D216" s="2" t="n">
        <f aca="false">Inputs!D223-D215</f>
        <v>100</v>
      </c>
      <c r="E216" s="2" t="n">
        <f aca="false">Inputs!E223-E215</f>
        <v>100</v>
      </c>
    </row>
    <row r="217" customFormat="false" ht="15" hidden="false" customHeight="false" outlineLevel="0" collapsed="false">
      <c r="A217" s="0" t="s">
        <v>590</v>
      </c>
      <c r="B217" s="0" t="s">
        <v>591</v>
      </c>
      <c r="C217" s="2" t="n">
        <f aca="false">C215*Inputs!C225*(1-Inputs!C226)</f>
        <v>0</v>
      </c>
      <c r="D217" s="2" t="n">
        <f aca="false">D215*Inputs!D225*(1-Inputs!D226)</f>
        <v>0</v>
      </c>
      <c r="E217" s="2" t="n">
        <f aca="false">E215*Inputs!E225*(1-Inputs!E226)</f>
        <v>0</v>
      </c>
    </row>
    <row r="218" customFormat="false" ht="15" hidden="false" customHeight="false" outlineLevel="0" collapsed="false">
      <c r="A218" s="0" t="s">
        <v>592</v>
      </c>
      <c r="B218" s="0" t="s">
        <v>26</v>
      </c>
      <c r="C218" s="2" t="n">
        <f aca="false">C217*Inputs!C227</f>
        <v>0</v>
      </c>
      <c r="D218" s="2" t="n">
        <f aca="false">D217*Inputs!D227</f>
        <v>0</v>
      </c>
      <c r="E218" s="2" t="n">
        <f aca="false">E217*Inputs!E227</f>
        <v>0</v>
      </c>
      <c r="F218" s="2" t="n">
        <f aca="false">D218/Inputs!$D$4</f>
        <v>0</v>
      </c>
    </row>
    <row r="219" customFormat="false" ht="15" hidden="false" customHeight="false" outlineLevel="0" collapsed="false">
      <c r="A219" s="0" t="s">
        <v>593</v>
      </c>
      <c r="B219" s="0" t="s">
        <v>63</v>
      </c>
      <c r="C219" s="2" t="n">
        <f aca="false">C215*Inputs!C230</f>
        <v>0</v>
      </c>
      <c r="D219" s="2" t="n">
        <f aca="false">D215*Inputs!D230</f>
        <v>0</v>
      </c>
      <c r="E219" s="2" t="n">
        <f aca="false">E215*Inputs!E230</f>
        <v>0</v>
      </c>
    </row>
    <row r="220" customFormat="false" ht="15" hidden="false" customHeight="false" outlineLevel="0" collapsed="false">
      <c r="A220" s="0" t="s">
        <v>594</v>
      </c>
      <c r="B220" s="0" t="s">
        <v>26</v>
      </c>
      <c r="C220" s="2" t="n">
        <f aca="false">C219*Inputs!C231</f>
        <v>0</v>
      </c>
      <c r="D220" s="2" t="n">
        <f aca="false">D219*Inputs!D231</f>
        <v>0</v>
      </c>
      <c r="E220" s="2" t="n">
        <f aca="false">E219*Inputs!E231</f>
        <v>0</v>
      </c>
      <c r="F220" s="2" t="n">
        <f aca="false">D220/Inputs!$D$4</f>
        <v>0</v>
      </c>
    </row>
    <row r="221" customFormat="false" ht="15" hidden="false" customHeight="false" outlineLevel="0" collapsed="false">
      <c r="A221" s="0" t="s">
        <v>595</v>
      </c>
      <c r="B221" s="0" t="s">
        <v>63</v>
      </c>
      <c r="C221" s="2" t="n">
        <f aca="false">C216*Inputs!C236</f>
        <v>150</v>
      </c>
      <c r="D221" s="2" t="n">
        <f aca="false">D216*Inputs!D236</f>
        <v>150</v>
      </c>
      <c r="E221" s="2" t="n">
        <f aca="false">E216*Inputs!E236</f>
        <v>150</v>
      </c>
    </row>
    <row r="222" customFormat="false" ht="15" hidden="false" customHeight="false" outlineLevel="0" collapsed="false">
      <c r="A222" s="0" t="s">
        <v>596</v>
      </c>
      <c r="B222" s="0" t="s">
        <v>63</v>
      </c>
      <c r="C222" s="2" t="n">
        <f aca="false">C221*(1-Inputs!C237)</f>
        <v>111</v>
      </c>
      <c r="D222" s="2" t="n">
        <f aca="false">D221*(1-Inputs!D237)</f>
        <v>120</v>
      </c>
      <c r="E222" s="2" t="n">
        <f aca="false">E221*(1-Inputs!E237)</f>
        <v>127.5</v>
      </c>
    </row>
    <row r="223" customFormat="false" ht="15" hidden="false" customHeight="false" outlineLevel="0" collapsed="false">
      <c r="A223" s="0" t="s">
        <v>597</v>
      </c>
      <c r="B223" s="0" t="s">
        <v>26</v>
      </c>
      <c r="C223" s="2" t="n">
        <f aca="false">C222*Inputs!C240</f>
        <v>88800</v>
      </c>
      <c r="D223" s="2" t="n">
        <f aca="false">D222*Inputs!D240</f>
        <v>144000</v>
      </c>
      <c r="E223" s="2" t="n">
        <f aca="false">E222*Inputs!E240</f>
        <v>255000</v>
      </c>
      <c r="F223" s="2" t="n">
        <f aca="false">D223/Inputs!$D$4</f>
        <v>1108.63037955193</v>
      </c>
    </row>
    <row r="224" customFormat="false" ht="15" hidden="false" customHeight="false" outlineLevel="0" collapsed="false">
      <c r="A224" s="1" t="s">
        <v>562</v>
      </c>
      <c r="B224" s="6" t="s">
        <v>26</v>
      </c>
      <c r="C224" s="7" t="n">
        <f aca="false">C218+C220+C223</f>
        <v>88800</v>
      </c>
      <c r="D224" s="7" t="n">
        <f aca="false">D218+D220+D223</f>
        <v>144000</v>
      </c>
      <c r="E224" s="7" t="n">
        <f aca="false">E218+E220+E223</f>
        <v>255000</v>
      </c>
      <c r="F224" s="2" t="n">
        <f aca="false">D224/Inputs!$D$4</f>
        <v>1108.63037955193</v>
      </c>
    </row>
    <row r="225" customFormat="false" ht="15" hidden="false" customHeight="false" outlineLevel="0" collapsed="false">
      <c r="A225" s="0" t="s">
        <v>598</v>
      </c>
      <c r="B225" s="0" t="s">
        <v>63</v>
      </c>
      <c r="C225" s="2" t="n">
        <f aca="false">C215*(Inputs!C230+Inputs!C232)</f>
        <v>0</v>
      </c>
      <c r="D225" s="2" t="n">
        <f aca="false">D215*(Inputs!D230+Inputs!D232)</f>
        <v>0</v>
      </c>
      <c r="E225" s="2" t="n">
        <f aca="false">E215*(Inputs!E230+Inputs!E232)</f>
        <v>0</v>
      </c>
    </row>
    <row r="226" customFormat="false" ht="15" hidden="false" customHeight="false" outlineLevel="0" collapsed="false">
      <c r="A226" s="0" t="s">
        <v>599</v>
      </c>
      <c r="B226" s="0" t="s">
        <v>63</v>
      </c>
      <c r="C226" s="2" t="n">
        <f aca="false">C225/(1-Inputs!C233)</f>
        <v>0</v>
      </c>
      <c r="D226" s="2" t="n">
        <f aca="false">D225/(1-Inputs!D233)</f>
        <v>0</v>
      </c>
      <c r="E226" s="2" t="n">
        <f aca="false">E225/(1-Inputs!E233)</f>
        <v>0</v>
      </c>
    </row>
    <row r="227" customFormat="false" ht="15" hidden="false" customHeight="false" outlineLevel="0" collapsed="false">
      <c r="A227" s="0" t="s">
        <v>600</v>
      </c>
      <c r="B227" s="0" t="s">
        <v>26</v>
      </c>
      <c r="C227" s="2" t="n">
        <f aca="false">(C226+C221)*Inputs!C241</f>
        <v>42000</v>
      </c>
      <c r="D227" s="2" t="n">
        <f aca="false">(D226+D221)*Inputs!D241</f>
        <v>37500</v>
      </c>
      <c r="E227" s="2" t="n">
        <f aca="false">(E226+E221)*Inputs!E241</f>
        <v>34500</v>
      </c>
      <c r="F227" s="2" t="n">
        <f aca="false">D227/Inputs!$D$4</f>
        <v>288.705828008315</v>
      </c>
    </row>
    <row r="228" customFormat="false" ht="15" hidden="false" customHeight="false" outlineLevel="0" collapsed="false">
      <c r="A228" s="0" t="s">
        <v>601</v>
      </c>
      <c r="B228" s="0" t="s">
        <v>26</v>
      </c>
      <c r="C228" s="2" t="n">
        <f aca="false">C215*Inputs!C228/1000*365*(1-Inputs!C229)*Inputs!C61/70</f>
        <v>0</v>
      </c>
      <c r="D228" s="2" t="n">
        <f aca="false">D215*Inputs!D228/1000*365*(1-Inputs!D229)*Inputs!D61/70</f>
        <v>0</v>
      </c>
      <c r="E228" s="2" t="n">
        <f aca="false">E215*Inputs!E228/1000*365*(1-Inputs!E229)*Inputs!E61/70</f>
        <v>0</v>
      </c>
      <c r="F228" s="2" t="n">
        <f aca="false">D228/Inputs!$D$4</f>
        <v>0</v>
      </c>
    </row>
    <row r="229" customFormat="false" ht="15" hidden="false" customHeight="false" outlineLevel="0" collapsed="false">
      <c r="A229" s="0" t="s">
        <v>602</v>
      </c>
      <c r="B229" s="0" t="s">
        <v>26</v>
      </c>
      <c r="C229" s="2" t="n">
        <f aca="false">C226*Inputs!C234*(1-Inputs!C239)*Inputs!C62/70</f>
        <v>0</v>
      </c>
      <c r="D229" s="2" t="n">
        <f aca="false">D226*Inputs!D234*(1-Inputs!D239)*Inputs!D62/70</f>
        <v>0</v>
      </c>
      <c r="E229" s="2" t="n">
        <f aca="false">E226*Inputs!E234*(1-Inputs!E239)*Inputs!E62/70</f>
        <v>0</v>
      </c>
      <c r="F229" s="2" t="n">
        <f aca="false">D229/Inputs!$D$4</f>
        <v>0</v>
      </c>
    </row>
    <row r="230" customFormat="false" ht="15" hidden="false" customHeight="false" outlineLevel="0" collapsed="false">
      <c r="A230" s="0" t="s">
        <v>603</v>
      </c>
      <c r="B230" s="0" t="s">
        <v>26</v>
      </c>
      <c r="C230" s="2" t="n">
        <f aca="false">C221*Inputs!C238*(1-Inputs!C239)*Inputs!C62/70</f>
        <v>40741.0714285714</v>
      </c>
      <c r="D230" s="2" t="n">
        <f aca="false">D221*Inputs!D238*(1-Inputs!D239)*Inputs!D62/70</f>
        <v>32400</v>
      </c>
      <c r="E230" s="2" t="n">
        <f aca="false">E221*Inputs!E238*(1-Inputs!E239)*Inputs!E62/70</f>
        <v>22982.1428571429</v>
      </c>
      <c r="F230" s="2" t="n">
        <f aca="false">D230/Inputs!$D$4</f>
        <v>249.441835399184</v>
      </c>
    </row>
    <row r="231" customFormat="false" ht="15" hidden="false" customHeight="false" outlineLevel="0" collapsed="false">
      <c r="A231" s="0" t="s">
        <v>604</v>
      </c>
      <c r="B231" s="0" t="s">
        <v>26</v>
      </c>
      <c r="C231" s="2" t="n">
        <f aca="false">C215*Inputs!C235+(C226+C221)*Inputs!C242</f>
        <v>9000</v>
      </c>
      <c r="D231" s="2" t="n">
        <f aca="false">D215*Inputs!D235+(D226+D221)*Inputs!D242</f>
        <v>6000</v>
      </c>
      <c r="E231" s="2" t="n">
        <f aca="false">E215*Inputs!E235+(E226+E221)*Inputs!E242</f>
        <v>4500</v>
      </c>
      <c r="F231" s="2" t="n">
        <f aca="false">D231/Inputs!$D$4</f>
        <v>46.1929324813304</v>
      </c>
    </row>
    <row r="232" customFormat="false" ht="15" hidden="false" customHeight="false" outlineLevel="0" collapsed="false">
      <c r="A232" s="0" t="s">
        <v>605</v>
      </c>
      <c r="B232" s="0" t="s">
        <v>26</v>
      </c>
      <c r="C232" s="2" t="n">
        <f aca="false">(C226+C221)*Inputs!C66</f>
        <v>3000</v>
      </c>
      <c r="D232" s="2" t="n">
        <f aca="false">(D226+D221)*Inputs!D66</f>
        <v>2250</v>
      </c>
      <c r="E232" s="2" t="n">
        <f aca="false">(E226+E221)*Inputs!E66</f>
        <v>1800</v>
      </c>
      <c r="F232" s="2" t="n">
        <f aca="false">D232/Inputs!$D$4</f>
        <v>17.3223496804989</v>
      </c>
    </row>
    <row r="233" customFormat="false" ht="15" hidden="false" customHeight="false" outlineLevel="0" collapsed="false">
      <c r="A233" s="0" t="s">
        <v>606</v>
      </c>
      <c r="B233" s="0" t="s">
        <v>26</v>
      </c>
      <c r="C233" s="2" t="n">
        <f aca="false">C217/30*Inputs!C64</f>
        <v>0</v>
      </c>
      <c r="D233" s="2" t="n">
        <f aca="false">D217/30*Inputs!D64</f>
        <v>0</v>
      </c>
      <c r="E233" s="2" t="n">
        <f aca="false">E217/30*Inputs!E64</f>
        <v>0</v>
      </c>
      <c r="F233" s="2" t="n">
        <f aca="false">D233/Inputs!$D$4</f>
        <v>0</v>
      </c>
    </row>
    <row r="234" customFormat="false" ht="15" hidden="false" customHeight="false" outlineLevel="0" collapsed="false">
      <c r="A234" s="0" t="s">
        <v>607</v>
      </c>
      <c r="B234" s="0" t="s">
        <v>26</v>
      </c>
      <c r="C234" s="2" t="n">
        <f aca="false">C218*Inputs!C63+(C220+C223)*Inputs!C65</f>
        <v>4440</v>
      </c>
      <c r="D234" s="2" t="n">
        <f aca="false">D218*Inputs!D63+(D220+D223)*Inputs!D65</f>
        <v>5760</v>
      </c>
      <c r="E234" s="2" t="n">
        <f aca="false">E218*Inputs!E63+(E220+E223)*Inputs!E65</f>
        <v>7650</v>
      </c>
      <c r="F234" s="2" t="n">
        <f aca="false">D234/Inputs!$D$4</f>
        <v>44.3452151820772</v>
      </c>
    </row>
    <row r="235" customFormat="false" ht="15" hidden="false" customHeight="false" outlineLevel="0" collapsed="false">
      <c r="A235" s="1" t="s">
        <v>569</v>
      </c>
      <c r="B235" s="6" t="s">
        <v>26</v>
      </c>
      <c r="C235" s="7" t="n">
        <f aca="false">C227+C228+C229+C230+C231+C232+C233+C234</f>
        <v>99181.0714285714</v>
      </c>
      <c r="D235" s="7" t="n">
        <f aca="false">D227+D228+D229+D230+D231+D232+D233+D234</f>
        <v>83910</v>
      </c>
      <c r="E235" s="7" t="n">
        <f aca="false">E227+E228+E229+E230+E231+E232+E233+E234</f>
        <v>71432.1428571429</v>
      </c>
      <c r="F235" s="2" t="n">
        <f aca="false">D235/Inputs!$D$4</f>
        <v>646.008160751405</v>
      </c>
    </row>
    <row r="236" customFormat="false" ht="15" hidden="false" customHeight="false" outlineLevel="0" collapsed="false">
      <c r="A236" s="1" t="s">
        <v>28</v>
      </c>
      <c r="B236" s="6" t="s">
        <v>26</v>
      </c>
      <c r="C236" s="7" t="n">
        <f aca="false">C224-C235</f>
        <v>-10381.0714285714</v>
      </c>
      <c r="D236" s="7" t="n">
        <f aca="false">D224-D235</f>
        <v>60090</v>
      </c>
      <c r="E236" s="7" t="n">
        <f aca="false">E224-E235</f>
        <v>183567.857142857</v>
      </c>
      <c r="F236" s="2" t="n">
        <f aca="false">D236/Inputs!$D$4</f>
        <v>462.622218800524</v>
      </c>
    </row>
    <row r="237" customFormat="false" ht="15" hidden="false" customHeight="false" outlineLevel="0" collapsed="false">
      <c r="A237" s="0" t="s">
        <v>608</v>
      </c>
      <c r="B237" s="0" t="s">
        <v>105</v>
      </c>
      <c r="C237" s="2" t="n">
        <f aca="false">C236/C214</f>
        <v>-103.810714285714</v>
      </c>
      <c r="D237" s="2" t="n">
        <f aca="false">D236/D214</f>
        <v>600.9</v>
      </c>
      <c r="E237" s="2" t="n">
        <f aca="false">E236/E214</f>
        <v>1835.67857142857</v>
      </c>
    </row>
    <row r="238" customFormat="false" ht="15" hidden="false" customHeight="false" outlineLevel="0" collapsed="false">
      <c r="A238" s="0" t="s">
        <v>609</v>
      </c>
      <c r="B238" s="0" t="s">
        <v>105</v>
      </c>
      <c r="C238" s="2" t="n">
        <f aca="false">Inputs!C225*(1-Inputs!C226)*(Inputs!C227*(1-Inputs!C63)-Inputs!C64/30)+Inputs!C230*Inputs!C231*(1-Inputs!C65)-(Inputs!C230+Inputs!C232)/(1-Inputs!C233)*(Inputs!C241+Inputs!C66+Inputs!C242+Inputs!C234*(1-Inputs!C239)*Inputs!C62/70)-Inputs!C228/1000*365*(1-Inputs!C229)*Inputs!C61/70-Inputs!C235</f>
        <v>0</v>
      </c>
      <c r="D238" s="2" t="n">
        <f aca="false">Inputs!D225*(1-Inputs!D226)*(Inputs!D227*(1-Inputs!D63)-Inputs!D64/30)+Inputs!D230*Inputs!D231*(1-Inputs!D65)-(Inputs!D230+Inputs!D232)/(1-Inputs!D233)*(Inputs!D241+Inputs!D66+Inputs!D242+Inputs!D234*(1-Inputs!D239)*Inputs!D62/70)-Inputs!D228/1000*365*(1-Inputs!D229)*Inputs!D61/70-Inputs!D235</f>
        <v>0</v>
      </c>
      <c r="E238" s="2" t="n">
        <f aca="false">Inputs!E225*(1-Inputs!E226)*(Inputs!E227*(1-Inputs!E63)-Inputs!E64/30)+Inputs!E230*Inputs!E231*(1-Inputs!E65)-(Inputs!E230+Inputs!E232)/(1-Inputs!E233)*(Inputs!E241+Inputs!E66+Inputs!E242+Inputs!E234*(1-Inputs!E239)*Inputs!E62/70)-Inputs!E228/1000*365*(1-Inputs!E229)*Inputs!E61/70-Inputs!E235</f>
        <v>0</v>
      </c>
    </row>
    <row r="239" customFormat="false" ht="15" hidden="false" customHeight="false" outlineLevel="0" collapsed="false">
      <c r="A239" s="0" t="s">
        <v>610</v>
      </c>
      <c r="B239" s="0" t="s">
        <v>105</v>
      </c>
      <c r="C239" s="2" t="n">
        <f aca="false">Inputs!C236*((1-Inputs!C237)*Inputs!C240*(1-Inputs!C65)-Inputs!C241-Inputs!C66-Inputs!C242-Inputs!C238*(1-Inputs!C239)*Inputs!C62/70)</f>
        <v>-103.810714285714</v>
      </c>
      <c r="D239" s="2" t="n">
        <f aca="false">Inputs!D236*((1-Inputs!D237)*Inputs!D240*(1-Inputs!D65)-Inputs!D241-Inputs!D66-Inputs!D242-Inputs!D238*(1-Inputs!D239)*Inputs!D62/70)</f>
        <v>600.9</v>
      </c>
      <c r="E239" s="2" t="n">
        <f aca="false">Inputs!E236*((1-Inputs!E237)*Inputs!E240*(1-Inputs!E65)-Inputs!E241-Inputs!E66-Inputs!E242-Inputs!E238*(1-Inputs!E239)*Inputs!E62/70)</f>
        <v>1835.67857142857</v>
      </c>
    </row>
    <row r="240" customFormat="false" ht="15" hidden="false" customHeight="false" outlineLevel="0" collapsed="false">
      <c r="A240" s="0" t="s">
        <v>611</v>
      </c>
      <c r="B240" s="0" t="s">
        <v>26</v>
      </c>
      <c r="C240" s="2" t="n">
        <f aca="false">C236-(C215*C238+C216*C239)</f>
        <v>0</v>
      </c>
      <c r="D240" s="2" t="n">
        <f aca="false">D236-(D215*D238+D216*D239)</f>
        <v>0</v>
      </c>
      <c r="E240" s="2" t="n">
        <f aca="false">E236-(E215*E238+E216*E239)</f>
        <v>0</v>
      </c>
      <c r="F240" s="2" t="n">
        <f aca="false">D240/Inputs!$D$4</f>
        <v>0</v>
      </c>
    </row>
    <row r="241" customFormat="false" ht="15" hidden="false" customHeight="false" outlineLevel="0" collapsed="false">
      <c r="A241" s="0" t="s">
        <v>573</v>
      </c>
      <c r="B241" s="0" t="s">
        <v>26</v>
      </c>
      <c r="C241" s="2" t="n">
        <f aca="false">Inputs!C223*Inputs!C243</f>
        <v>45000</v>
      </c>
      <c r="D241" s="2" t="n">
        <f aca="false">Inputs!D223*Inputs!D243</f>
        <v>45000</v>
      </c>
      <c r="E241" s="2" t="n">
        <f aca="false">Inputs!E223*Inputs!E243</f>
        <v>45000</v>
      </c>
      <c r="F241" s="2" t="n">
        <f aca="false">D241/Inputs!$D$4</f>
        <v>346.446993609978</v>
      </c>
    </row>
    <row r="242" customFormat="false" ht="15" hidden="false" customHeight="false" outlineLevel="0" collapsed="false">
      <c r="A242" s="0" t="s">
        <v>583</v>
      </c>
      <c r="B242" s="0" t="s">
        <v>26</v>
      </c>
      <c r="C242" s="2" t="n">
        <f aca="false">C228+C229+C230</f>
        <v>40741.0714285714</v>
      </c>
      <c r="D242" s="2" t="n">
        <f aca="false">D228+D229+D230</f>
        <v>32400</v>
      </c>
      <c r="E242" s="2" t="n">
        <f aca="false">E228+E229+E230</f>
        <v>22982.1428571429</v>
      </c>
      <c r="F242" s="2" t="n">
        <f aca="false">D242/Inputs!$D$4</f>
        <v>249.441835399184</v>
      </c>
    </row>
    <row r="243" customFormat="false" ht="15" hidden="false" customHeight="false" outlineLevel="0" collapsed="false">
      <c r="A243" s="4" t="s">
        <v>612</v>
      </c>
      <c r="B243" s="5"/>
      <c r="C243" s="5"/>
      <c r="D243" s="5"/>
      <c r="E243" s="5"/>
      <c r="F243" s="5"/>
      <c r="G243" s="5"/>
    </row>
    <row r="244" customFormat="false" ht="15" hidden="false" customHeight="false" outlineLevel="0" collapsed="false">
      <c r="A244" s="1" t="s">
        <v>613</v>
      </c>
      <c r="B244" s="6" t="s">
        <v>63</v>
      </c>
      <c r="C244" s="7" t="n">
        <f aca="false">C4+C34+C64+C94+C124+C154+C184+C214</f>
        <v>2270</v>
      </c>
      <c r="D244" s="7" t="n">
        <f aca="false">D4+D34+D64+D94+D124+D154+D184+D214</f>
        <v>2270</v>
      </c>
      <c r="E244" s="7" t="n">
        <f aca="false">E4+E34+E64+E94+E124+E154+E184+E214</f>
        <v>2270</v>
      </c>
    </row>
    <row r="245" customFormat="false" ht="15" hidden="false" customHeight="false" outlineLevel="0" collapsed="false">
      <c r="A245" s="0" t="s">
        <v>614</v>
      </c>
      <c r="B245" s="0" t="s">
        <v>63</v>
      </c>
      <c r="C245" s="2" t="n">
        <f aca="false">C4+C34+C64+C94</f>
        <v>2000</v>
      </c>
      <c r="D245" s="2" t="n">
        <f aca="false">D4+D34+D64+D94</f>
        <v>2000</v>
      </c>
      <c r="E245" s="2" t="n">
        <f aca="false">E4+E34+E64+E94</f>
        <v>2000</v>
      </c>
    </row>
    <row r="246" customFormat="false" ht="15" hidden="false" customHeight="false" outlineLevel="0" collapsed="false">
      <c r="A246" s="0" t="s">
        <v>615</v>
      </c>
      <c r="B246" s="0" t="s">
        <v>63</v>
      </c>
      <c r="C246" s="2" t="n">
        <f aca="false">C5+C35+C65+C95+C125+C155+C185+C215</f>
        <v>800</v>
      </c>
      <c r="D246" s="2" t="n">
        <f aca="false">D5+D35+D65+D95+D125+D155+D185+D215</f>
        <v>800</v>
      </c>
      <c r="E246" s="2" t="n">
        <f aca="false">E5+E35+E65+E95+E125+E155+E185+E215</f>
        <v>800</v>
      </c>
    </row>
    <row r="247" customFormat="false" ht="15" hidden="false" customHeight="false" outlineLevel="0" collapsed="false">
      <c r="A247" s="0" t="s">
        <v>590</v>
      </c>
      <c r="B247" s="0" t="s">
        <v>591</v>
      </c>
      <c r="C247" s="2" t="n">
        <f aca="false">C7+C37+C67+C97+C127+C157+C187+C217</f>
        <v>84480</v>
      </c>
      <c r="D247" s="2" t="n">
        <f aca="false">D7+D37+D67+D97+D127+D157+D187+D217</f>
        <v>116400</v>
      </c>
      <c r="E247" s="2" t="n">
        <f aca="false">E7+E37+E67+E97+E127+E157+E187+E217</f>
        <v>140400</v>
      </c>
    </row>
    <row r="248" customFormat="false" ht="15" hidden="false" customHeight="false" outlineLevel="0" collapsed="false">
      <c r="A248" s="0" t="s">
        <v>616</v>
      </c>
      <c r="B248" s="0" t="s">
        <v>65</v>
      </c>
      <c r="C248" s="9" t="n">
        <f aca="false">C247/30/365</f>
        <v>7.71506849315069</v>
      </c>
      <c r="D248" s="9" t="n">
        <f aca="false">D247/30/365</f>
        <v>10.6301369863014</v>
      </c>
      <c r="E248" s="9" t="n">
        <f aca="false">E247/30/365</f>
        <v>12.8219178082192</v>
      </c>
    </row>
    <row r="249" customFormat="false" ht="15" hidden="false" customHeight="false" outlineLevel="0" collapsed="false">
      <c r="A249" s="0" t="s">
        <v>617</v>
      </c>
      <c r="B249" s="0" t="s">
        <v>618</v>
      </c>
      <c r="C249" s="2" t="n">
        <f aca="false">C12+C9+C42+C39+C72+C69+C102+C99+C132+C129+C162+C159+C192+C189+C222+C219</f>
        <v>2798.4</v>
      </c>
      <c r="D249" s="2" t="n">
        <f aca="false">D12+D9+D42+D39+D72+D69+D102+D99+D132+D129+D162+D159+D192+D189+D222+D219</f>
        <v>3117.5</v>
      </c>
      <c r="E249" s="2" t="n">
        <f aca="false">E12+E9+E42+E39+E72+E69+E102+E99+E132+E129+E162+E159+E192+E189+E222+E219</f>
        <v>3642.8</v>
      </c>
    </row>
    <row r="250" customFormat="false" ht="15" hidden="false" customHeight="false" outlineLevel="0" collapsed="false">
      <c r="A250" s="0" t="s">
        <v>66</v>
      </c>
      <c r="B250" s="0" t="s">
        <v>67</v>
      </c>
      <c r="C250" s="9" t="n">
        <f aca="false">C249/52</f>
        <v>53.8153846153846</v>
      </c>
      <c r="D250" s="9" t="n">
        <f aca="false">D249/52</f>
        <v>59.9519230769231</v>
      </c>
      <c r="E250" s="9" t="n">
        <f aca="false">E249/52</f>
        <v>70.0538461538462</v>
      </c>
    </row>
    <row r="251" customFormat="false" ht="15" hidden="false" customHeight="false" outlineLevel="0" collapsed="false">
      <c r="A251" s="0" t="s">
        <v>592</v>
      </c>
      <c r="B251" s="0" t="s">
        <v>26</v>
      </c>
      <c r="C251" s="2" t="n">
        <f aca="false">C8+C38+C68+C98+C128+C158+C188+C218</f>
        <v>1013760</v>
      </c>
      <c r="D251" s="2" t="n">
        <f aca="false">D8+D38+D68+D98+D128+D158+D188+D218</f>
        <v>1746000</v>
      </c>
      <c r="E251" s="2" t="n">
        <f aca="false">E8+E38+E68+E98+E128+E158+E188+E218</f>
        <v>2527200</v>
      </c>
      <c r="F251" s="2" t="n">
        <f aca="false">D251/Inputs!$D$4</f>
        <v>13442.1433520671</v>
      </c>
    </row>
    <row r="252" customFormat="false" ht="15" hidden="false" customHeight="false" outlineLevel="0" collapsed="false">
      <c r="A252" s="0" t="s">
        <v>619</v>
      </c>
      <c r="B252" s="0" t="s">
        <v>26</v>
      </c>
      <c r="C252" s="2" t="n">
        <f aca="false">C13+C10+C43+C40+C73+C70+C103+C100+C133+C130+C163+C160+C193+C190+C223+C220</f>
        <v>1743760</v>
      </c>
      <c r="D252" s="2" t="n">
        <f aca="false">D13+D10+D43+D40+D73+D70+D103+D100+D133+D130+D163+D160+D193+D190+D223+D220</f>
        <v>2372450</v>
      </c>
      <c r="E252" s="2" t="n">
        <f aca="false">E13+E10+E43+E40+E73+E70+E103+E100+E133+E130+E163+E160+E193+E190+E223+E220</f>
        <v>3352880</v>
      </c>
      <c r="F252" s="2" t="n">
        <f aca="false">D252/Inputs!$D$4</f>
        <v>18265.070444222</v>
      </c>
    </row>
    <row r="253" customFormat="false" ht="15" hidden="false" customHeight="false" outlineLevel="0" collapsed="false">
      <c r="A253" s="1" t="s">
        <v>620</v>
      </c>
      <c r="B253" s="6" t="s">
        <v>26</v>
      </c>
      <c r="C253" s="7" t="n">
        <f aca="false">C14+C44+C74+C104+C134+C164+C194+C224</f>
        <v>2757520</v>
      </c>
      <c r="D253" s="7" t="n">
        <f aca="false">D14+D44+D74+D104+D134+D164+D194+D224</f>
        <v>4118450</v>
      </c>
      <c r="E253" s="7" t="n">
        <f aca="false">E14+E44+E74+E104+E134+E164+E194+E224</f>
        <v>5880080</v>
      </c>
      <c r="F253" s="2" t="n">
        <f aca="false">D253/Inputs!$D$4</f>
        <v>31707.2137962892</v>
      </c>
    </row>
    <row r="254" customFormat="false" ht="15" hidden="false" customHeight="false" outlineLevel="0" collapsed="false">
      <c r="A254" s="0" t="s">
        <v>621</v>
      </c>
      <c r="B254" s="0" t="s">
        <v>26</v>
      </c>
      <c r="C254" s="2" t="n">
        <f aca="false">C25+C55+C85+C115+C145+C175+C205+C235</f>
        <v>4491281.05873016</v>
      </c>
      <c r="D254" s="2" t="n">
        <f aca="false">D25+D55+D85+D115+D145+D175+D205+D235</f>
        <v>3566469.98757764</v>
      </c>
      <c r="E254" s="2" t="n">
        <f aca="false">E25+E55+E85+E115+E145+E175+E205+E235</f>
        <v>2942585.9775076</v>
      </c>
      <c r="F254" s="2" t="n">
        <f aca="false">D254/Inputs!$D$4</f>
        <v>27457.6178888108</v>
      </c>
    </row>
    <row r="255" customFormat="false" ht="15" hidden="false" customHeight="false" outlineLevel="0" collapsed="false">
      <c r="A255" s="1" t="s">
        <v>622</v>
      </c>
      <c r="B255" s="6" t="s">
        <v>26</v>
      </c>
      <c r="C255" s="7" t="n">
        <f aca="false">C26+C56+C86+C116+C146+C176+C206+C236</f>
        <v>-1733761.05873016</v>
      </c>
      <c r="D255" s="7" t="n">
        <f aca="false">D26+D56+D86+D116+D146+D176+D206+D236</f>
        <v>551980.012422361</v>
      </c>
      <c r="E255" s="7" t="n">
        <f aca="false">E26+E56+E86+E116+E146+E176+E206+E236</f>
        <v>2937494.0224924</v>
      </c>
      <c r="F255" s="2" t="n">
        <f aca="false">D255/Inputs!$D$4</f>
        <v>4249.59590747833</v>
      </c>
    </row>
    <row r="256" customFormat="false" ht="15" hidden="false" customHeight="false" outlineLevel="0" collapsed="false">
      <c r="A256" s="0" t="s">
        <v>623</v>
      </c>
      <c r="B256" s="0" t="s">
        <v>26</v>
      </c>
      <c r="C256" s="2" t="n">
        <f aca="false">C26+C56+C86+C116</f>
        <v>-1711985.7015873</v>
      </c>
      <c r="D256" s="2" t="n">
        <f aca="false">D26+D56+D86+D116</f>
        <v>344678.012422361</v>
      </c>
      <c r="E256" s="2" t="n">
        <f aca="false">E26+E56+E86+E116</f>
        <v>2400986.45106383</v>
      </c>
      <c r="F256" s="2" t="n">
        <f aca="false">D256/Inputs!$D$4</f>
        <v>2653.61469260421</v>
      </c>
    </row>
    <row r="257" customFormat="false" ht="15" hidden="false" customHeight="false" outlineLevel="0" collapsed="false">
      <c r="A257" s="0" t="s">
        <v>624</v>
      </c>
      <c r="B257" s="0" t="s">
        <v>26</v>
      </c>
      <c r="C257" s="2" t="n">
        <f aca="false">C146+C176+C206+C236</f>
        <v>-21775.3571428571</v>
      </c>
      <c r="D257" s="2" t="n">
        <f aca="false">D146+D176+D206+D236</f>
        <v>207302</v>
      </c>
      <c r="E257" s="2" t="n">
        <f aca="false">E146+E176+E206+E236</f>
        <v>536507.571428571</v>
      </c>
      <c r="F257" s="2" t="n">
        <f aca="false">D257/Inputs!$D$4</f>
        <v>1595.98121487412</v>
      </c>
    </row>
    <row r="258" customFormat="false" ht="15" hidden="false" customHeight="false" outlineLevel="0" collapsed="false">
      <c r="A258" s="0" t="s">
        <v>625</v>
      </c>
      <c r="B258" s="0" t="s">
        <v>26</v>
      </c>
      <c r="C258" s="2" t="n">
        <f aca="false">C32+C62+C92+C122+C152+C182+C212+C242</f>
        <v>3378298.21428571</v>
      </c>
      <c r="D258" s="2" t="n">
        <f aca="false">D32+D62+D92+D122+D152+D182+D212+D242</f>
        <v>2543450.68322981</v>
      </c>
      <c r="E258" s="2" t="n">
        <f aca="false">E32+E62+E92+E122+E152+E182+E212+E242</f>
        <v>1967603.66261398</v>
      </c>
      <c r="F258" s="2" t="n">
        <f aca="false">D258/Inputs!$D$4</f>
        <v>19581.5742800047</v>
      </c>
    </row>
    <row r="259" customFormat="false" ht="15" hidden="false" customHeight="false" outlineLevel="0" collapsed="false">
      <c r="A259" s="0" t="s">
        <v>626</v>
      </c>
      <c r="B259" s="0" t="s">
        <v>35</v>
      </c>
      <c r="C259" s="8" t="n">
        <f aca="false">C258/C253</f>
        <v>1.22512192632718</v>
      </c>
      <c r="D259" s="8" t="n">
        <f aca="false">D258/D253</f>
        <v>0.617574738853164</v>
      </c>
      <c r="E259" s="8" t="n">
        <f aca="false">E258/E253</f>
        <v>0.334621920554479</v>
      </c>
    </row>
    <row r="260" customFormat="false" ht="15" hidden="false" customHeight="false" outlineLevel="0" collapsed="false">
      <c r="A260" s="0" t="s">
        <v>604</v>
      </c>
      <c r="B260" s="0" t="s">
        <v>26</v>
      </c>
      <c r="C260" s="2" t="n">
        <f aca="false">C21+C51+C81+C111+C141+C171+C201+C231</f>
        <v>301066.666666667</v>
      </c>
      <c r="D260" s="2" t="n">
        <f aca="false">D21+D51+D81+D111+D141+D171+D201+D231</f>
        <v>225660.869565217</v>
      </c>
      <c r="E260" s="2" t="n">
        <f aca="false">E21+E51+E81+E111+E141+E171+E201+E231</f>
        <v>186657.446808511</v>
      </c>
      <c r="F260" s="2" t="n">
        <f aca="false">D260/Inputs!$D$4</f>
        <v>1737.32288525073</v>
      </c>
    </row>
    <row r="261" customFormat="false" ht="15" hidden="false" customHeight="false" outlineLevel="0" collapsed="false">
      <c r="A261" s="0" t="s">
        <v>627</v>
      </c>
      <c r="B261" s="0" t="s">
        <v>26</v>
      </c>
      <c r="C261" s="2" t="n">
        <f aca="false">C31+C61+C91+C121+C151+C181+C211+C241</f>
        <v>1230000</v>
      </c>
      <c r="D261" s="2" t="n">
        <f aca="false">D31+D61+D91+D121+D151+D181+D211+D241</f>
        <v>1230000</v>
      </c>
      <c r="E261" s="2" t="n">
        <f aca="false">E31+E61+E91+E121+E151+E181+E211+E241</f>
        <v>1230000</v>
      </c>
      <c r="F261" s="2" t="n">
        <f aca="false">D261/Inputs!$D$4</f>
        <v>9469.55115867272</v>
      </c>
    </row>
    <row r="262" customFormat="false" ht="15" hidden="false" customHeight="false" outlineLevel="0" collapsed="false">
      <c r="A262" s="0" t="s">
        <v>69</v>
      </c>
      <c r="B262" s="0" t="s">
        <v>35</v>
      </c>
      <c r="C262" s="8" t="n">
        <f aca="false">(C251)/C253</f>
        <v>0.36763468623981</v>
      </c>
      <c r="D262" s="8" t="n">
        <f aca="false">(D251)/D253</f>
        <v>0.423945901977686</v>
      </c>
      <c r="E262" s="8" t="n">
        <f aca="false">(E251)/E253</f>
        <v>0.429790070883389</v>
      </c>
    </row>
    <row r="263" customFormat="false" ht="15" hidden="false" customHeight="false" outlineLevel="0" collapsed="false">
      <c r="A263" s="0" t="s">
        <v>628</v>
      </c>
      <c r="B263" s="0" t="s">
        <v>26</v>
      </c>
      <c r="C263" s="2" t="n">
        <f aca="false">ABS(C30)+ABS(C60)+ABS(C90)+ABS(C120)+ABS(C150)+ABS(C180)+ABS(C210)+ABS(C240)</f>
        <v>0</v>
      </c>
      <c r="D263" s="2" t="n">
        <f aca="false">ABS(D30)+ABS(D60)+ABS(D90)+ABS(D120)+ABS(D150)+ABS(D180)+ABS(D210)+ABS(D240)</f>
        <v>0</v>
      </c>
      <c r="E263" s="2" t="n">
        <f aca="false">ABS(E30)+ABS(E60)+ABS(E90)+ABS(E120)+ABS(E150)+ABS(E180)+ABS(E210)+ABS(E240)</f>
        <v>0</v>
      </c>
      <c r="F263" s="2" t="n">
        <f aca="false">D263/Inputs!$D$4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629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630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4" t="s">
        <v>631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0" t="s">
        <v>632</v>
      </c>
      <c r="B5" s="0" t="s">
        <v>26</v>
      </c>
      <c r="C5" s="2" t="n">
        <f aca="false">Inputs!C69*(0*Poultry!C28+1*Poultry!C29)+Inputs!C91*(0*Poultry!C58+1*Poultry!C59)+Inputs!C113*(0*Poultry!C88+1*Poultry!C89)+Inputs!C135*(0*Poultry!C118+1*Poultry!C119)</f>
        <v>-868680</v>
      </c>
      <c r="D5" s="2" t="n">
        <f aca="false">Inputs!D69*(0*Poultry!D28+1*Poultry!D29)+Inputs!D91*(0*Poultry!D58+1*Poultry!D59)+Inputs!D113*(0*Poultry!D88+1*Poultry!D89)+Inputs!D135*(0*Poultry!D118+1*Poultry!D119)</f>
        <v>250400</v>
      </c>
      <c r="E5" s="2" t="n">
        <f aca="false">Inputs!E69*(0*Poultry!E28+1*Poultry!E29)+Inputs!E91*(0*Poultry!E58+1*Poultry!E59)+Inputs!E113*(0*Poultry!E88+1*Poultry!E89)+Inputs!E135*(0*Poultry!E118+1*Poultry!E119)</f>
        <v>1582673.14285714</v>
      </c>
      <c r="F5" s="2" t="n">
        <f aca="false">D5/Inputs!$D$4</f>
        <v>1927.78504888752</v>
      </c>
    </row>
    <row r="6" customFormat="false" ht="15" hidden="false" customHeight="false" outlineLevel="0" collapsed="false">
      <c r="A6" s="0" t="s">
        <v>633</v>
      </c>
      <c r="B6" s="0" t="s">
        <v>65</v>
      </c>
      <c r="C6" s="9" t="n">
        <f aca="false">(Inputs!C69*0*Inputs!C71*(1-Inputs!C72)+Inputs!C91*0*Inputs!C93*(1-Inputs!C94)+Inputs!C113*0*Inputs!C115*(1-Inputs!C116)+Inputs!C135*0*Inputs!C137*(1-Inputs!C138))/30/365</f>
        <v>0</v>
      </c>
      <c r="D6" s="9" t="n">
        <f aca="false">(Inputs!D69*0*Inputs!D71*(1-Inputs!D72)+Inputs!D91*0*Inputs!D93*(1-Inputs!D94)+Inputs!D113*0*Inputs!D115*(1-Inputs!D116)+Inputs!D135*0*Inputs!D137*(1-Inputs!D138))/30/365</f>
        <v>0</v>
      </c>
      <c r="E6" s="9" t="n">
        <f aca="false">(Inputs!E69*0*Inputs!E71*(1-Inputs!E72)+Inputs!E91*0*Inputs!E93*(1-Inputs!E94)+Inputs!E113*0*Inputs!E115*(1-Inputs!E116)+Inputs!E135*0*Inputs!E137*(1-Inputs!E138))/30/365</f>
        <v>0</v>
      </c>
    </row>
    <row r="7" customFormat="false" ht="15" hidden="false" customHeight="false" outlineLevel="0" collapsed="false">
      <c r="A7" s="0" t="s">
        <v>634</v>
      </c>
      <c r="B7" s="0" t="s">
        <v>67</v>
      </c>
      <c r="C7" s="9" t="n">
        <f aca="false">(Inputs!C69*1*Inputs!C82*(1-Inputs!C83)+Inputs!C91*1*Inputs!C104*(1-Inputs!C105)+Inputs!C113*1*Inputs!C126*(1-Inputs!C127)+Inputs!C135*1*Inputs!C148*(1-Inputs!C149))/52</f>
        <v>58.1538461538462</v>
      </c>
      <c r="D7" s="9" t="n">
        <f aca="false">(Inputs!D69*1*Inputs!D82*(1-Inputs!D83)+Inputs!D91*1*Inputs!D104*(1-Inputs!D105)+Inputs!D113*1*Inputs!D126*(1-Inputs!D127)+Inputs!D135*1*Inputs!D148*(1-Inputs!D149))/52</f>
        <v>67.6923076923077</v>
      </c>
      <c r="E7" s="9" t="n">
        <f aca="false">(Inputs!E69*1*Inputs!E82*(1-Inputs!E83)+Inputs!E91*1*Inputs!E104*(1-Inputs!E105)+Inputs!E113*1*Inputs!E126*(1-Inputs!E127)+Inputs!E135*1*Inputs!E148*(1-Inputs!E149))/52</f>
        <v>84</v>
      </c>
    </row>
    <row r="8" customFormat="false" ht="15" hidden="false" customHeight="false" outlineLevel="0" collapsed="false">
      <c r="A8" s="1" t="s">
        <v>635</v>
      </c>
      <c r="B8" s="6" t="s">
        <v>26</v>
      </c>
      <c r="C8" s="7" t="n">
        <f aca="false">Farm_PnL!C46-Poultry!C256+C5</f>
        <v>-3838062.89214286</v>
      </c>
      <c r="D8" s="7" t="n">
        <f aca="false">Farm_PnL!D46-Poultry!D256+D5</f>
        <v>-1627086.53333333</v>
      </c>
      <c r="E8" s="7" t="n">
        <f aca="false">Farm_PnL!E46-Poultry!E256+E5</f>
        <v>771798.803012987</v>
      </c>
      <c r="F8" s="2" t="n">
        <f aca="false">D8/Inputs!$D$4</f>
        <v>-12526.6497292581</v>
      </c>
    </row>
    <row r="9" customFormat="false" ht="15" hidden="false" customHeight="false" outlineLevel="0" collapsed="false">
      <c r="A9" s="1" t="s">
        <v>636</v>
      </c>
      <c r="B9" s="6" t="s">
        <v>26</v>
      </c>
      <c r="C9" s="7" t="n">
        <f aca="false">B12!C21-Poultry!C256+C5</f>
        <v>-5309046.38395833</v>
      </c>
      <c r="D9" s="7" t="n">
        <f aca="false">B12!D21-Poultry!D256+D5</f>
        <v>-2472466.98661146</v>
      </c>
      <c r="E9" s="7" t="n">
        <f aca="false">B12!E21-Poultry!E256+E5</f>
        <v>378040.522735286</v>
      </c>
      <c r="F9" s="2" t="n">
        <f aca="false">D9/Inputs!$D$4</f>
        <v>-19035.0834291436</v>
      </c>
    </row>
    <row r="10" customFormat="false" ht="15" hidden="false" customHeight="false" outlineLevel="0" collapsed="false">
      <c r="A10" s="4" t="s">
        <v>637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0" t="s">
        <v>638</v>
      </c>
      <c r="B11" s="0" t="s">
        <v>26</v>
      </c>
      <c r="C11" s="2" t="n">
        <f aca="false">Inputs!C69*(0.2*Poultry!C28+0.8*Poultry!C29)+Inputs!C91*(0.2*Poultry!C58+0.8*Poultry!C59)+Inputs!C113*(0.2*Poultry!C88+0.8*Poultry!C89)+Inputs!C135*(0.2*Poultry!C118+0.8*Poultry!C119)</f>
        <v>-1290332.85079365</v>
      </c>
      <c r="D11" s="2" t="n">
        <f aca="false">Inputs!D69*(0.2*Poultry!D28+0.8*Poultry!D29)+Inputs!D91*(0.2*Poultry!D58+0.8*Poultry!D59)+Inputs!D113*(0.2*Poultry!D88+0.8*Poultry!D89)+Inputs!D135*(0.2*Poultry!D118+0.8*Poultry!D119)</f>
        <v>297539.00621118</v>
      </c>
      <c r="E11" s="2" t="n">
        <f aca="false">Inputs!E69*(0.2*Poultry!E28+0.8*Poultry!E29)+Inputs!E91*(0.2*Poultry!E58+0.8*Poultry!E59)+Inputs!E113*(0.2*Poultry!E88+0.8*Poultry!E89)+Inputs!E135*(0.2*Poultry!E118+0.8*Poultry!E119)</f>
        <v>1991829.79696049</v>
      </c>
      <c r="F11" s="2" t="n">
        <f aca="false">D11/Inputs!$D$4</f>
        <v>2290.69987074586</v>
      </c>
    </row>
    <row r="12" customFormat="false" ht="15" hidden="false" customHeight="false" outlineLevel="0" collapsed="false">
      <c r="A12" s="0" t="s">
        <v>633</v>
      </c>
      <c r="B12" s="0" t="s">
        <v>65</v>
      </c>
      <c r="C12" s="9" t="n">
        <f aca="false">(Inputs!C69*0.2*Inputs!C71*(1-Inputs!C72)+Inputs!C91*0.2*Inputs!C93*(1-Inputs!C94)+Inputs!C113*0.2*Inputs!C115*(1-Inputs!C116)+Inputs!C135*0.2*Inputs!C137*(1-Inputs!C138))/30/365</f>
        <v>3.85753424657534</v>
      </c>
      <c r="D12" s="9" t="n">
        <f aca="false">(Inputs!D69*0.2*Inputs!D71*(1-Inputs!D72)+Inputs!D91*0.2*Inputs!D93*(1-Inputs!D94)+Inputs!D113*0.2*Inputs!D115*(1-Inputs!D116)+Inputs!D135*0.2*Inputs!D137*(1-Inputs!D138))/30/365</f>
        <v>5.31506849315069</v>
      </c>
      <c r="E12" s="9" t="n">
        <f aca="false">(Inputs!E69*0.2*Inputs!E71*(1-Inputs!E72)+Inputs!E91*0.2*Inputs!E93*(1-Inputs!E94)+Inputs!E113*0.2*Inputs!E115*(1-Inputs!E116)+Inputs!E135*0.2*Inputs!E137*(1-Inputs!E138))/30/365</f>
        <v>6.41095890410959</v>
      </c>
    </row>
    <row r="13" customFormat="false" ht="15" hidden="false" customHeight="false" outlineLevel="0" collapsed="false">
      <c r="A13" s="0" t="s">
        <v>634</v>
      </c>
      <c r="B13" s="0" t="s">
        <v>67</v>
      </c>
      <c r="C13" s="9" t="n">
        <f aca="false">(Inputs!C69*0.8*Inputs!C82*(1-Inputs!C83)+Inputs!C91*0.8*Inputs!C104*(1-Inputs!C105)+Inputs!C113*0.8*Inputs!C126*(1-Inputs!C127)+Inputs!C135*0.8*Inputs!C148*(1-Inputs!C149))/52</f>
        <v>46.5230769230769</v>
      </c>
      <c r="D13" s="9" t="n">
        <f aca="false">(Inputs!D69*0.8*Inputs!D82*(1-Inputs!D83)+Inputs!D91*0.8*Inputs!D104*(1-Inputs!D105)+Inputs!D113*0.8*Inputs!D126*(1-Inputs!D127)+Inputs!D135*0.8*Inputs!D148*(1-Inputs!D149))/52</f>
        <v>54.1538461538462</v>
      </c>
      <c r="E13" s="9" t="n">
        <f aca="false">(Inputs!E69*0.8*Inputs!E82*(1-Inputs!E83)+Inputs!E91*0.8*Inputs!E104*(1-Inputs!E105)+Inputs!E113*0.8*Inputs!E126*(1-Inputs!E127)+Inputs!E135*0.8*Inputs!E148*(1-Inputs!E149))/52</f>
        <v>67.2</v>
      </c>
    </row>
    <row r="14" customFormat="false" ht="15" hidden="false" customHeight="false" outlineLevel="0" collapsed="false">
      <c r="A14" s="1" t="s">
        <v>635</v>
      </c>
      <c r="B14" s="6" t="s">
        <v>26</v>
      </c>
      <c r="C14" s="7" t="n">
        <f aca="false">Farm_PnL!C46-Poultry!C256+C11</f>
        <v>-4259715.74293651</v>
      </c>
      <c r="D14" s="7" t="n">
        <f aca="false">Farm_PnL!D46-Poultry!D256+D11</f>
        <v>-1579947.52712215</v>
      </c>
      <c r="E14" s="7" t="n">
        <f aca="false">Farm_PnL!E46-Poultry!E256+E11</f>
        <v>1180955.45711633</v>
      </c>
      <c r="F14" s="2" t="n">
        <f aca="false">D14/Inputs!$D$4</f>
        <v>-12163.7349073997</v>
      </c>
    </row>
    <row r="15" customFormat="false" ht="15" hidden="false" customHeight="false" outlineLevel="0" collapsed="false">
      <c r="A15" s="1" t="s">
        <v>636</v>
      </c>
      <c r="B15" s="6" t="s">
        <v>26</v>
      </c>
      <c r="C15" s="7" t="n">
        <f aca="false">B12!C21-Poultry!C256+C11</f>
        <v>-5730699.23475198</v>
      </c>
      <c r="D15" s="7" t="n">
        <f aca="false">B12!D21-Poultry!D256+D11</f>
        <v>-2425327.98040028</v>
      </c>
      <c r="E15" s="7" t="n">
        <f aca="false">B12!E21-Poultry!E256+E11</f>
        <v>787197.176838629</v>
      </c>
      <c r="F15" s="2" t="n">
        <f aca="false">D15/Inputs!$D$4</f>
        <v>-18672.1686072852</v>
      </c>
    </row>
    <row r="16" customFormat="false" ht="15" hidden="false" customHeight="false" outlineLevel="0" collapsed="false">
      <c r="A16" s="4" t="s">
        <v>639</v>
      </c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0" t="s">
        <v>640</v>
      </c>
      <c r="B17" s="0" t="s">
        <v>26</v>
      </c>
      <c r="C17" s="2" t="n">
        <f aca="false">Inputs!C69*(0.4*Poultry!C28+0.6*Poultry!C29)+Inputs!C91*(0.4*Poultry!C58+0.6*Poultry!C59)+Inputs!C113*(0.4*Poultry!C88+0.6*Poultry!C89)+Inputs!C135*(0.4*Poultry!C118+0.6*Poultry!C119)</f>
        <v>-1711985.7015873</v>
      </c>
      <c r="D17" s="2" t="n">
        <f aca="false">Inputs!D69*(0.4*Poultry!D28+0.6*Poultry!D29)+Inputs!D91*(0.4*Poultry!D58+0.6*Poultry!D59)+Inputs!D113*(0.4*Poultry!D88+0.6*Poultry!D89)+Inputs!D135*(0.4*Poultry!D118+0.6*Poultry!D119)</f>
        <v>344678.01242236</v>
      </c>
      <c r="E17" s="2" t="n">
        <f aca="false">Inputs!E69*(0.4*Poultry!E28+0.6*Poultry!E29)+Inputs!E91*(0.4*Poultry!E58+0.6*Poultry!E59)+Inputs!E113*(0.4*Poultry!E88+0.6*Poultry!E89)+Inputs!E135*(0.4*Poultry!E118+0.6*Poultry!E119)</f>
        <v>2400986.45106383</v>
      </c>
      <c r="F17" s="2" t="n">
        <f aca="false">D17/Inputs!$D$4</f>
        <v>2653.61469260421</v>
      </c>
    </row>
    <row r="18" customFormat="false" ht="15" hidden="false" customHeight="false" outlineLevel="0" collapsed="false">
      <c r="A18" s="0" t="s">
        <v>633</v>
      </c>
      <c r="B18" s="0" t="s">
        <v>65</v>
      </c>
      <c r="C18" s="9" t="n">
        <f aca="false">(Inputs!C69*0.4*Inputs!C71*(1-Inputs!C72)+Inputs!C91*0.4*Inputs!C93*(1-Inputs!C94)+Inputs!C113*0.4*Inputs!C115*(1-Inputs!C116)+Inputs!C135*0.4*Inputs!C137*(1-Inputs!C138))/30/365</f>
        <v>7.71506849315069</v>
      </c>
      <c r="D18" s="9" t="n">
        <f aca="false">(Inputs!D69*0.4*Inputs!D71*(1-Inputs!D72)+Inputs!D91*0.4*Inputs!D93*(1-Inputs!D94)+Inputs!D113*0.4*Inputs!D115*(1-Inputs!D116)+Inputs!D135*0.4*Inputs!D137*(1-Inputs!D138))/30/365</f>
        <v>10.6301369863014</v>
      </c>
      <c r="E18" s="9" t="n">
        <f aca="false">(Inputs!E69*0.4*Inputs!E71*(1-Inputs!E72)+Inputs!E91*0.4*Inputs!E93*(1-Inputs!E94)+Inputs!E113*0.4*Inputs!E115*(1-Inputs!E116)+Inputs!E135*0.4*Inputs!E137*(1-Inputs!E138))/30/365</f>
        <v>12.8219178082192</v>
      </c>
    </row>
    <row r="19" customFormat="false" ht="15" hidden="false" customHeight="false" outlineLevel="0" collapsed="false">
      <c r="A19" s="0" t="s">
        <v>634</v>
      </c>
      <c r="B19" s="0" t="s">
        <v>67</v>
      </c>
      <c r="C19" s="9" t="n">
        <f aca="false">(Inputs!C69*0.6*Inputs!C82*(1-Inputs!C83)+Inputs!C91*0.6*Inputs!C104*(1-Inputs!C105)+Inputs!C113*0.6*Inputs!C126*(1-Inputs!C127)+Inputs!C135*0.6*Inputs!C148*(1-Inputs!C149))/52</f>
        <v>34.8923076923077</v>
      </c>
      <c r="D19" s="9" t="n">
        <f aca="false">(Inputs!D69*0.6*Inputs!D82*(1-Inputs!D83)+Inputs!D91*0.6*Inputs!D104*(1-Inputs!D105)+Inputs!D113*0.6*Inputs!D126*(1-Inputs!D127)+Inputs!D135*0.6*Inputs!D148*(1-Inputs!D149))/52</f>
        <v>40.6153846153846</v>
      </c>
      <c r="E19" s="9" t="n">
        <f aca="false">(Inputs!E69*0.6*Inputs!E82*(1-Inputs!E83)+Inputs!E91*0.6*Inputs!E104*(1-Inputs!E105)+Inputs!E113*0.6*Inputs!E126*(1-Inputs!E127)+Inputs!E135*0.6*Inputs!E148*(1-Inputs!E149))/52</f>
        <v>50.4</v>
      </c>
    </row>
    <row r="20" customFormat="false" ht="15" hidden="false" customHeight="false" outlineLevel="0" collapsed="false">
      <c r="A20" s="1" t="s">
        <v>635</v>
      </c>
      <c r="B20" s="6" t="s">
        <v>26</v>
      </c>
      <c r="C20" s="7" t="n">
        <f aca="false">Farm_PnL!C46-Poultry!C256+C17</f>
        <v>-4681368.59373016</v>
      </c>
      <c r="D20" s="7" t="n">
        <f aca="false">Farm_PnL!D46-Poultry!D256+D17</f>
        <v>-1532808.52091097</v>
      </c>
      <c r="E20" s="7" t="n">
        <f aca="false">Farm_PnL!E46-Poultry!E256+E17</f>
        <v>1590112.11121967</v>
      </c>
      <c r="F20" s="2" t="n">
        <f aca="false">D20/Inputs!$D$4</f>
        <v>-11800.8200855414</v>
      </c>
    </row>
    <row r="21" customFormat="false" ht="15" hidden="false" customHeight="false" outlineLevel="0" collapsed="false">
      <c r="A21" s="1" t="s">
        <v>636</v>
      </c>
      <c r="B21" s="6" t="s">
        <v>26</v>
      </c>
      <c r="C21" s="7" t="n">
        <f aca="false">B12!C21-Poultry!C256+C17</f>
        <v>-6152352.08554563</v>
      </c>
      <c r="D21" s="7" t="n">
        <f aca="false">B12!D21-Poultry!D256+D17</f>
        <v>-2378188.9741891</v>
      </c>
      <c r="E21" s="7" t="n">
        <f aca="false">B12!E21-Poultry!E256+E17</f>
        <v>1196353.83094197</v>
      </c>
      <c r="F21" s="2" t="n">
        <f aca="false">D21/Inputs!$D$4</f>
        <v>-18309.2537854269</v>
      </c>
    </row>
    <row r="22" customFormat="false" ht="15" hidden="false" customHeight="false" outlineLevel="0" collapsed="false">
      <c r="A22" s="4" t="s">
        <v>641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0" t="s">
        <v>642</v>
      </c>
      <c r="B23" s="0" t="s">
        <v>26</v>
      </c>
      <c r="C23" s="2" t="n">
        <f aca="false">Inputs!C69*(0.6*Poultry!C28+0.4*Poultry!C29)+Inputs!C91*(0.6*Poultry!C58+0.4*Poultry!C59)+Inputs!C113*(0.6*Poultry!C88+0.4*Poultry!C89)+Inputs!C135*(0.6*Poultry!C118+0.4*Poultry!C119)</f>
        <v>-2133638.55238095</v>
      </c>
      <c r="D23" s="2" t="n">
        <f aca="false">Inputs!D69*(0.6*Poultry!D28+0.4*Poultry!D29)+Inputs!D91*(0.6*Poultry!D58+0.4*Poultry!D59)+Inputs!D113*(0.6*Poultry!D88+0.4*Poultry!D89)+Inputs!D135*(0.6*Poultry!D118+0.4*Poultry!D119)</f>
        <v>391817.01863354</v>
      </c>
      <c r="E23" s="2" t="n">
        <f aca="false">Inputs!E69*(0.6*Poultry!E28+0.4*Poultry!E29)+Inputs!E91*(0.6*Poultry!E58+0.4*Poultry!E59)+Inputs!E113*(0.6*Poultry!E88+0.4*Poultry!E89)+Inputs!E135*(0.6*Poultry!E118+0.4*Poultry!E119)</f>
        <v>2810143.10516717</v>
      </c>
      <c r="F23" s="2" t="n">
        <f aca="false">D23/Inputs!$D$4</f>
        <v>3016.52951446255</v>
      </c>
    </row>
    <row r="24" customFormat="false" ht="15" hidden="false" customHeight="false" outlineLevel="0" collapsed="false">
      <c r="A24" s="0" t="s">
        <v>633</v>
      </c>
      <c r="B24" s="0" t="s">
        <v>65</v>
      </c>
      <c r="C24" s="9" t="n">
        <f aca="false">(Inputs!C69*0.6*Inputs!C71*(1-Inputs!C72)+Inputs!C91*0.6*Inputs!C93*(1-Inputs!C94)+Inputs!C113*0.6*Inputs!C115*(1-Inputs!C116)+Inputs!C135*0.6*Inputs!C137*(1-Inputs!C138))/30/365</f>
        <v>11.572602739726</v>
      </c>
      <c r="D24" s="9" t="n">
        <f aca="false">(Inputs!D69*0.6*Inputs!D71*(1-Inputs!D72)+Inputs!D91*0.6*Inputs!D93*(1-Inputs!D94)+Inputs!D113*0.6*Inputs!D115*(1-Inputs!D116)+Inputs!D135*0.6*Inputs!D137*(1-Inputs!D138))/30/365</f>
        <v>15.9452054794521</v>
      </c>
      <c r="E24" s="9" t="n">
        <f aca="false">(Inputs!E69*0.6*Inputs!E71*(1-Inputs!E72)+Inputs!E91*0.6*Inputs!E93*(1-Inputs!E94)+Inputs!E113*0.6*Inputs!E115*(1-Inputs!E116)+Inputs!E135*0.6*Inputs!E137*(1-Inputs!E138))/30/365</f>
        <v>19.2328767123288</v>
      </c>
    </row>
    <row r="25" customFormat="false" ht="15" hidden="false" customHeight="false" outlineLevel="0" collapsed="false">
      <c r="A25" s="0" t="s">
        <v>634</v>
      </c>
      <c r="B25" s="0" t="s">
        <v>67</v>
      </c>
      <c r="C25" s="9" t="n">
        <f aca="false">(Inputs!C69*0.4*Inputs!C82*(1-Inputs!C83)+Inputs!C91*0.4*Inputs!C104*(1-Inputs!C105)+Inputs!C113*0.4*Inputs!C126*(1-Inputs!C127)+Inputs!C135*0.4*Inputs!C148*(1-Inputs!C149))/52</f>
        <v>23.2615384615385</v>
      </c>
      <c r="D25" s="9" t="n">
        <f aca="false">(Inputs!D69*0.4*Inputs!D82*(1-Inputs!D83)+Inputs!D91*0.4*Inputs!D104*(1-Inputs!D105)+Inputs!D113*0.4*Inputs!D126*(1-Inputs!D127)+Inputs!D135*0.4*Inputs!D148*(1-Inputs!D149))/52</f>
        <v>27.0769230769231</v>
      </c>
      <c r="E25" s="9" t="n">
        <f aca="false">(Inputs!E69*0.4*Inputs!E82*(1-Inputs!E83)+Inputs!E91*0.4*Inputs!E104*(1-Inputs!E105)+Inputs!E113*0.4*Inputs!E126*(1-Inputs!E127)+Inputs!E135*0.4*Inputs!E148*(1-Inputs!E149))/52</f>
        <v>33.6</v>
      </c>
    </row>
    <row r="26" customFormat="false" ht="15" hidden="false" customHeight="false" outlineLevel="0" collapsed="false">
      <c r="A26" s="1" t="s">
        <v>635</v>
      </c>
      <c r="B26" s="6" t="s">
        <v>26</v>
      </c>
      <c r="C26" s="7" t="n">
        <f aca="false">Farm_PnL!C46-Poultry!C256+C23</f>
        <v>-5103021.44452381</v>
      </c>
      <c r="D26" s="7" t="n">
        <f aca="false">Farm_PnL!D46-Poultry!D256+D23</f>
        <v>-1485669.51469979</v>
      </c>
      <c r="E26" s="7" t="n">
        <f aca="false">Farm_PnL!E46-Poultry!E256+E23</f>
        <v>1999268.76532302</v>
      </c>
      <c r="F26" s="2" t="n">
        <f aca="false">D26/Inputs!$D$4</f>
        <v>-11437.9052636831</v>
      </c>
    </row>
    <row r="27" customFormat="false" ht="15" hidden="false" customHeight="false" outlineLevel="0" collapsed="false">
      <c r="A27" s="1" t="s">
        <v>636</v>
      </c>
      <c r="B27" s="6" t="s">
        <v>26</v>
      </c>
      <c r="C27" s="7" t="n">
        <f aca="false">B12!C21-Poultry!C256+C23</f>
        <v>-6574004.93633928</v>
      </c>
      <c r="D27" s="7" t="n">
        <f aca="false">B12!D21-Poultry!D256+D23</f>
        <v>-2331049.96797792</v>
      </c>
      <c r="E27" s="7" t="n">
        <f aca="false">B12!E21-Poultry!E256+E23</f>
        <v>1605510.48504532</v>
      </c>
      <c r="F27" s="2" t="n">
        <f aca="false">D27/Inputs!$D$4</f>
        <v>-17946.3389635685</v>
      </c>
    </row>
    <row r="28" customFormat="false" ht="15" hidden="false" customHeight="false" outlineLevel="0" collapsed="false">
      <c r="A28" s="4" t="s">
        <v>643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0" t="s">
        <v>644</v>
      </c>
      <c r="B29" s="0" t="s">
        <v>26</v>
      </c>
      <c r="C29" s="2" t="n">
        <f aca="false">Inputs!C69*(0.8*Poultry!C28+0.2*Poultry!C29)+Inputs!C91*(0.8*Poultry!C58+0.2*Poultry!C59)+Inputs!C113*(0.8*Poultry!C88+0.2*Poultry!C89)+Inputs!C135*(0.8*Poultry!C118+0.2*Poultry!C119)</f>
        <v>-2555291.4031746</v>
      </c>
      <c r="D29" s="2" t="n">
        <f aca="false">Inputs!D69*(0.8*Poultry!D28+0.2*Poultry!D29)+Inputs!D91*(0.8*Poultry!D58+0.2*Poultry!D59)+Inputs!D113*(0.8*Poultry!D88+0.2*Poultry!D89)+Inputs!D135*(0.8*Poultry!D118+0.2*Poultry!D119)</f>
        <v>438956.024844721</v>
      </c>
      <c r="E29" s="2" t="n">
        <f aca="false">Inputs!E69*(0.8*Poultry!E28+0.2*Poultry!E29)+Inputs!E91*(0.8*Poultry!E58+0.2*Poultry!E59)+Inputs!E113*(0.8*Poultry!E88+0.2*Poultry!E89)+Inputs!E135*(0.8*Poultry!E118+0.2*Poultry!E119)</f>
        <v>3219299.75927052</v>
      </c>
      <c r="F29" s="2" t="n">
        <f aca="false">D29/Inputs!$D$4</f>
        <v>3379.44433632089</v>
      </c>
    </row>
    <row r="30" customFormat="false" ht="15" hidden="false" customHeight="false" outlineLevel="0" collapsed="false">
      <c r="A30" s="0" t="s">
        <v>633</v>
      </c>
      <c r="B30" s="0" t="s">
        <v>65</v>
      </c>
      <c r="C30" s="9" t="n">
        <f aca="false">(Inputs!C69*0.8*Inputs!C71*(1-Inputs!C72)+Inputs!C91*0.8*Inputs!C93*(1-Inputs!C94)+Inputs!C113*0.8*Inputs!C115*(1-Inputs!C116)+Inputs!C135*0.8*Inputs!C137*(1-Inputs!C138))/30/365</f>
        <v>15.4301369863014</v>
      </c>
      <c r="D30" s="9" t="n">
        <f aca="false">(Inputs!D69*0.8*Inputs!D71*(1-Inputs!D72)+Inputs!D91*0.8*Inputs!D93*(1-Inputs!D94)+Inputs!D113*0.8*Inputs!D115*(1-Inputs!D116)+Inputs!D135*0.8*Inputs!D137*(1-Inputs!D138))/30/365</f>
        <v>21.2602739726027</v>
      </c>
      <c r="E30" s="9" t="n">
        <f aca="false">(Inputs!E69*0.8*Inputs!E71*(1-Inputs!E72)+Inputs!E91*0.8*Inputs!E93*(1-Inputs!E94)+Inputs!E113*0.8*Inputs!E115*(1-Inputs!E116)+Inputs!E135*0.8*Inputs!E137*(1-Inputs!E138))/30/365</f>
        <v>25.6438356164384</v>
      </c>
    </row>
    <row r="31" customFormat="false" ht="15" hidden="false" customHeight="false" outlineLevel="0" collapsed="false">
      <c r="A31" s="0" t="s">
        <v>634</v>
      </c>
      <c r="B31" s="0" t="s">
        <v>67</v>
      </c>
      <c r="C31" s="9" t="n">
        <f aca="false">(Inputs!C69*0.2*Inputs!C82*(1-Inputs!C83)+Inputs!C91*0.2*Inputs!C104*(1-Inputs!C105)+Inputs!C113*0.2*Inputs!C126*(1-Inputs!C127)+Inputs!C135*0.2*Inputs!C148*(1-Inputs!C149))/52</f>
        <v>11.6307692307692</v>
      </c>
      <c r="D31" s="9" t="n">
        <f aca="false">(Inputs!D69*0.2*Inputs!D82*(1-Inputs!D83)+Inputs!D91*0.2*Inputs!D104*(1-Inputs!D105)+Inputs!D113*0.2*Inputs!D126*(1-Inputs!D127)+Inputs!D135*0.2*Inputs!D148*(1-Inputs!D149))/52</f>
        <v>13.5384615384615</v>
      </c>
      <c r="E31" s="9" t="n">
        <f aca="false">(Inputs!E69*0.2*Inputs!E82*(1-Inputs!E83)+Inputs!E91*0.2*Inputs!E104*(1-Inputs!E105)+Inputs!E113*0.2*Inputs!E126*(1-Inputs!E127)+Inputs!E135*0.2*Inputs!E148*(1-Inputs!E149))/52</f>
        <v>16.8</v>
      </c>
    </row>
    <row r="32" customFormat="false" ht="15" hidden="false" customHeight="false" outlineLevel="0" collapsed="false">
      <c r="A32" s="1" t="s">
        <v>635</v>
      </c>
      <c r="B32" s="6" t="s">
        <v>26</v>
      </c>
      <c r="C32" s="7" t="n">
        <f aca="false">Farm_PnL!C46-Poultry!C256+C29</f>
        <v>-5524674.29531746</v>
      </c>
      <c r="D32" s="7" t="n">
        <f aca="false">Farm_PnL!D46-Poultry!D256+D29</f>
        <v>-1438530.50848861</v>
      </c>
      <c r="E32" s="7" t="n">
        <f aca="false">Farm_PnL!E46-Poultry!E256+E29</f>
        <v>2408425.41942636</v>
      </c>
      <c r="F32" s="2" t="n">
        <f aca="false">D32/Inputs!$D$4</f>
        <v>-11074.9904418247</v>
      </c>
    </row>
    <row r="33" customFormat="false" ht="15" hidden="false" customHeight="false" outlineLevel="0" collapsed="false">
      <c r="A33" s="1" t="s">
        <v>636</v>
      </c>
      <c r="B33" s="6" t="s">
        <v>26</v>
      </c>
      <c r="C33" s="7" t="n">
        <f aca="false">B12!C21-Poultry!C256+C29</f>
        <v>-6995657.78713294</v>
      </c>
      <c r="D33" s="7" t="n">
        <f aca="false">B12!D21-Poultry!D256+D29</f>
        <v>-2283910.96176674</v>
      </c>
      <c r="E33" s="7" t="n">
        <f aca="false">B12!E21-Poultry!E256+E29</f>
        <v>2014667.13914866</v>
      </c>
      <c r="F33" s="2" t="n">
        <f aca="false">D33/Inputs!$D$4</f>
        <v>-17583.4241417102</v>
      </c>
    </row>
    <row r="34" customFormat="false" ht="15" hidden="false" customHeight="false" outlineLevel="0" collapsed="false">
      <c r="A34" s="4" t="s">
        <v>645</v>
      </c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0" t="s">
        <v>646</v>
      </c>
      <c r="B35" s="0" t="s">
        <v>26</v>
      </c>
      <c r="C35" s="2" t="n">
        <f aca="false">Inputs!C69*(1*Poultry!C28+0*Poultry!C29)+Inputs!C91*(1*Poultry!C58+0*Poultry!C59)+Inputs!C113*(1*Poultry!C88+0*Poultry!C89)+Inputs!C135*(1*Poultry!C118+0*Poultry!C119)</f>
        <v>-2976944.25396825</v>
      </c>
      <c r="D35" s="2" t="n">
        <f aca="false">Inputs!D69*(1*Poultry!D28+0*Poultry!D29)+Inputs!D91*(1*Poultry!D58+0*Poultry!D59)+Inputs!D113*(1*Poultry!D88+0*Poultry!D89)+Inputs!D135*(1*Poultry!D118+0*Poultry!D119)</f>
        <v>486095.031055901</v>
      </c>
      <c r="E35" s="2" t="n">
        <f aca="false">Inputs!E69*(1*Poultry!E28+0*Poultry!E29)+Inputs!E91*(1*Poultry!E58+0*Poultry!E59)+Inputs!E113*(1*Poultry!E88+0*Poultry!E89)+Inputs!E135*(1*Poultry!E118+0*Poultry!E119)</f>
        <v>3628456.41337386</v>
      </c>
      <c r="F35" s="2" t="n">
        <f aca="false">D35/Inputs!$D$4</f>
        <v>3742.35915817923</v>
      </c>
    </row>
    <row r="36" customFormat="false" ht="15" hidden="false" customHeight="false" outlineLevel="0" collapsed="false">
      <c r="A36" s="0" t="s">
        <v>633</v>
      </c>
      <c r="B36" s="0" t="s">
        <v>65</v>
      </c>
      <c r="C36" s="9" t="n">
        <f aca="false">(Inputs!C69*1*Inputs!C71*(1-Inputs!C72)+Inputs!C91*1*Inputs!C93*(1-Inputs!C94)+Inputs!C113*1*Inputs!C115*(1-Inputs!C116)+Inputs!C135*1*Inputs!C137*(1-Inputs!C138))/30/365</f>
        <v>19.2876712328767</v>
      </c>
      <c r="D36" s="9" t="n">
        <f aca="false">(Inputs!D69*1*Inputs!D71*(1-Inputs!D72)+Inputs!D91*1*Inputs!D93*(1-Inputs!D94)+Inputs!D113*1*Inputs!D115*(1-Inputs!D116)+Inputs!D135*1*Inputs!D137*(1-Inputs!D138))/30/365</f>
        <v>26.5753424657534</v>
      </c>
      <c r="E36" s="9" t="n">
        <f aca="false">(Inputs!E69*1*Inputs!E71*(1-Inputs!E72)+Inputs!E91*1*Inputs!E93*(1-Inputs!E94)+Inputs!E113*1*Inputs!E115*(1-Inputs!E116)+Inputs!E135*1*Inputs!E137*(1-Inputs!E138))/30/365</f>
        <v>32.0547945205479</v>
      </c>
    </row>
    <row r="37" customFormat="false" ht="15" hidden="false" customHeight="false" outlineLevel="0" collapsed="false">
      <c r="A37" s="0" t="s">
        <v>634</v>
      </c>
      <c r="B37" s="0" t="s">
        <v>67</v>
      </c>
      <c r="C37" s="9" t="n">
        <f aca="false">(Inputs!C69*0*Inputs!C82*(1-Inputs!C83)+Inputs!C91*0*Inputs!C104*(1-Inputs!C105)+Inputs!C113*0*Inputs!C126*(1-Inputs!C127)+Inputs!C135*0*Inputs!C148*(1-Inputs!C149))/52</f>
        <v>0</v>
      </c>
      <c r="D37" s="9" t="n">
        <f aca="false">(Inputs!D69*0*Inputs!D82*(1-Inputs!D83)+Inputs!D91*0*Inputs!D104*(1-Inputs!D105)+Inputs!D113*0*Inputs!D126*(1-Inputs!D127)+Inputs!D135*0*Inputs!D148*(1-Inputs!D149))/52</f>
        <v>0</v>
      </c>
      <c r="E37" s="9" t="n">
        <f aca="false">(Inputs!E69*0*Inputs!E82*(1-Inputs!E83)+Inputs!E91*0*Inputs!E104*(1-Inputs!E105)+Inputs!E113*0*Inputs!E126*(1-Inputs!E127)+Inputs!E135*0*Inputs!E148*(1-Inputs!E149))/52</f>
        <v>0</v>
      </c>
    </row>
    <row r="38" customFormat="false" ht="15" hidden="false" customHeight="false" outlineLevel="0" collapsed="false">
      <c r="A38" s="1" t="s">
        <v>635</v>
      </c>
      <c r="B38" s="6" t="s">
        <v>26</v>
      </c>
      <c r="C38" s="7" t="n">
        <f aca="false">Farm_PnL!C46-Poultry!C256+C35</f>
        <v>-5946327.14611111</v>
      </c>
      <c r="D38" s="7" t="n">
        <f aca="false">Farm_PnL!D46-Poultry!D256+D35</f>
        <v>-1391391.50227743</v>
      </c>
      <c r="E38" s="7" t="n">
        <f aca="false">Farm_PnL!E46-Poultry!E256+E35</f>
        <v>2817582.07352971</v>
      </c>
      <c r="F38" s="2" t="n">
        <f aca="false">D38/Inputs!$D$4</f>
        <v>-10712.0756199664</v>
      </c>
    </row>
    <row r="39" customFormat="false" ht="15" hidden="false" customHeight="false" outlineLevel="0" collapsed="false">
      <c r="A39" s="1" t="s">
        <v>636</v>
      </c>
      <c r="B39" s="6" t="s">
        <v>26</v>
      </c>
      <c r="C39" s="7" t="n">
        <f aca="false">B12!C21-Poultry!C256+C35</f>
        <v>-7417310.63792659</v>
      </c>
      <c r="D39" s="7" t="n">
        <f aca="false">B12!D21-Poultry!D256+D35</f>
        <v>-2236771.95555556</v>
      </c>
      <c r="E39" s="7" t="n">
        <f aca="false">B12!E21-Poultry!E256+E35</f>
        <v>2423823.793252</v>
      </c>
      <c r="F39" s="2" t="n">
        <f aca="false">D39/Inputs!$D$4</f>
        <v>-17220.5093198518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647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648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649</v>
      </c>
      <c r="B4" s="0" t="s">
        <v>437</v>
      </c>
      <c r="C4" s="2" t="n">
        <f aca="false">Inputs!C248</f>
        <v>22000</v>
      </c>
      <c r="D4" s="2" t="n">
        <f aca="false">Inputs!D248</f>
        <v>22000</v>
      </c>
      <c r="E4" s="2" t="n">
        <f aca="false">Inputs!E248</f>
        <v>22000</v>
      </c>
    </row>
    <row r="5" customFormat="false" ht="15" hidden="false" customHeight="false" outlineLevel="0" collapsed="false">
      <c r="A5" s="0" t="s">
        <v>650</v>
      </c>
      <c r="B5" s="0" t="s">
        <v>437</v>
      </c>
      <c r="C5" s="2" t="n">
        <f aca="false">Inputs!C249</f>
        <v>22000</v>
      </c>
      <c r="D5" s="2" t="n">
        <f aca="false">Inputs!D249</f>
        <v>22000</v>
      </c>
      <c r="E5" s="2" t="n">
        <f aca="false">Inputs!E249</f>
        <v>22000</v>
      </c>
    </row>
    <row r="6" customFormat="false" ht="15" hidden="false" customHeight="false" outlineLevel="0" collapsed="false">
      <c r="A6" s="0" t="s">
        <v>651</v>
      </c>
      <c r="B6" s="0" t="s">
        <v>437</v>
      </c>
      <c r="C6" s="2" t="n">
        <f aca="false">Inputs!C250</f>
        <v>22000</v>
      </c>
      <c r="D6" s="2" t="n">
        <f aca="false">Inputs!D250</f>
        <v>22000</v>
      </c>
      <c r="E6" s="2" t="n">
        <f aca="false">Inputs!E250</f>
        <v>22000</v>
      </c>
    </row>
    <row r="7" customFormat="false" ht="15" hidden="false" customHeight="false" outlineLevel="0" collapsed="false">
      <c r="A7" s="0" t="s">
        <v>652</v>
      </c>
      <c r="B7" s="0" t="s">
        <v>76</v>
      </c>
      <c r="C7" s="10" t="n">
        <f aca="false">Inputs!C248/Inputs!C246</f>
        <v>2.38204028246667</v>
      </c>
      <c r="D7" s="10" t="n">
        <f aca="false">Inputs!D248/Inputs!D246</f>
        <v>2.38204028246667</v>
      </c>
      <c r="E7" s="10" t="n">
        <f aca="false">Inputs!E248/Inputs!E246</f>
        <v>2.38204028246667</v>
      </c>
      <c r="G7" s="6" t="s">
        <v>653</v>
      </c>
    </row>
    <row r="8" customFormat="false" ht="15" hidden="false" customHeight="false" outlineLevel="0" collapsed="false">
      <c r="A8" s="0" t="s">
        <v>654</v>
      </c>
      <c r="B8" s="0" t="s">
        <v>76</v>
      </c>
      <c r="C8" s="10" t="n">
        <f aca="false">Inputs!C248/Inputs!C247</f>
        <v>1.52490481474832</v>
      </c>
      <c r="D8" s="10" t="n">
        <f aca="false">Inputs!D248/Inputs!D247</f>
        <v>1.52490481474832</v>
      </c>
      <c r="E8" s="10" t="n">
        <f aca="false">Inputs!E248/Inputs!E247</f>
        <v>1.52490481474832</v>
      </c>
    </row>
    <row r="9" customFormat="false" ht="15" hidden="false" customHeight="false" outlineLevel="0" collapsed="false">
      <c r="A9" s="4" t="s">
        <v>655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0" t="s">
        <v>656</v>
      </c>
      <c r="B10" s="0" t="s">
        <v>26</v>
      </c>
      <c r="C10" s="2" t="n">
        <f aca="false">(C4+C5+C6)*12</f>
        <v>792000</v>
      </c>
      <c r="D10" s="2" t="n">
        <f aca="false">(D4+D5+D6)*12</f>
        <v>792000</v>
      </c>
      <c r="E10" s="2" t="n">
        <f aca="false">(E4+E5+E6)*12</f>
        <v>792000</v>
      </c>
      <c r="F10" s="2" t="n">
        <f aca="false">D10/Inputs!$D$4</f>
        <v>6097.46708753561</v>
      </c>
    </row>
    <row r="11" customFormat="false" ht="15" hidden="false" customHeight="false" outlineLevel="0" collapsed="false">
      <c r="A11" s="0" t="s">
        <v>657</v>
      </c>
      <c r="B11" s="0" t="s">
        <v>26</v>
      </c>
      <c r="C11" s="2" t="n">
        <f aca="false">(C4+C5+C6)*12*(Inputs!C251+Inputs!C252)+3*12*Inputs!C253</f>
        <v>61200</v>
      </c>
      <c r="D11" s="2" t="n">
        <f aca="false">(D4+D5+D6)*12*(Inputs!D251+Inputs!D252)+3*12*Inputs!D253</f>
        <v>61200</v>
      </c>
      <c r="E11" s="2" t="n">
        <f aca="false">(E4+E5+E6)*12*(Inputs!E251+Inputs!E252)+3*12*Inputs!E253</f>
        <v>61200</v>
      </c>
      <c r="F11" s="2" t="n">
        <f aca="false">D11/Inputs!$D$4</f>
        <v>471.16791130957</v>
      </c>
    </row>
    <row r="12" customFormat="false" ht="15" hidden="false" customHeight="false" outlineLevel="0" collapsed="false">
      <c r="A12" s="0" t="s">
        <v>658</v>
      </c>
      <c r="B12" s="0" t="s">
        <v>26</v>
      </c>
      <c r="C12" s="2" t="n">
        <f aca="false">Inputs!C254*Inputs!C255</f>
        <v>17500</v>
      </c>
      <c r="D12" s="2" t="n">
        <f aca="false">Inputs!D254*Inputs!D255</f>
        <v>15000</v>
      </c>
      <c r="E12" s="2" t="n">
        <f aca="false">Inputs!E254*Inputs!E255</f>
        <v>12500</v>
      </c>
      <c r="F12" s="2" t="n">
        <f aca="false">D12/Inputs!$D$4</f>
        <v>115.482331203326</v>
      </c>
    </row>
    <row r="13" customFormat="false" ht="15" hidden="false" customHeight="false" outlineLevel="0" collapsed="false">
      <c r="A13" s="0" t="s">
        <v>659</v>
      </c>
      <c r="B13" s="0" t="s">
        <v>111</v>
      </c>
      <c r="C13" s="2" t="n">
        <f aca="false">(Inputs!C258+Inputs!C259+Inputs!C260+Inputs!C262+Poultry!C244/100*Inputs!C261)*365</f>
        <v>7135.75</v>
      </c>
      <c r="D13" s="2" t="n">
        <f aca="false">(Inputs!D258+Inputs!D259+Inputs!D260+Inputs!D262+Poultry!D244/100*Inputs!D261)*365</f>
        <v>5869.2</v>
      </c>
      <c r="E13" s="2" t="n">
        <f aca="false">(Inputs!E258+Inputs!E259+Inputs!E260+Inputs!E262+Poultry!E244/100*Inputs!E261)*365</f>
        <v>5015.465</v>
      </c>
    </row>
    <row r="14" customFormat="false" ht="15" hidden="false" customHeight="false" outlineLevel="0" collapsed="false">
      <c r="A14" s="0" t="s">
        <v>660</v>
      </c>
      <c r="B14" s="0" t="s">
        <v>111</v>
      </c>
      <c r="C14" s="2" t="n">
        <f aca="false">Inputs!C256*Inputs!C257</f>
        <v>2160</v>
      </c>
      <c r="D14" s="2" t="n">
        <f aca="false">Inputs!D256*Inputs!D257</f>
        <v>2160</v>
      </c>
      <c r="E14" s="2" t="n">
        <f aca="false">Inputs!E256*Inputs!E257</f>
        <v>2160</v>
      </c>
    </row>
    <row r="15" customFormat="false" ht="15" hidden="false" customHeight="false" outlineLevel="0" collapsed="false">
      <c r="A15" s="0" t="s">
        <v>71</v>
      </c>
      <c r="B15" s="0" t="s">
        <v>72</v>
      </c>
      <c r="C15" s="10" t="n">
        <f aca="false">C13/C14</f>
        <v>3.30358796296296</v>
      </c>
      <c r="D15" s="10" t="n">
        <f aca="false">D13/D14</f>
        <v>2.71722222222222</v>
      </c>
      <c r="E15" s="10" t="n">
        <f aca="false">E13/E14</f>
        <v>2.32197453703704</v>
      </c>
    </row>
    <row r="16" customFormat="false" ht="15" hidden="false" customHeight="false" outlineLevel="0" collapsed="false">
      <c r="A16" s="0" t="s">
        <v>73</v>
      </c>
      <c r="B16" s="0" t="s">
        <v>35</v>
      </c>
      <c r="C16" s="8" t="n">
        <f aca="false">C15/3</f>
        <v>1.10119598765432</v>
      </c>
      <c r="D16" s="8" t="n">
        <f aca="false">D15/3</f>
        <v>0.905740740740741</v>
      </c>
      <c r="E16" s="8" t="n">
        <f aca="false">E15/3</f>
        <v>0.773991512345679</v>
      </c>
    </row>
    <row r="17" customFormat="false" ht="15" hidden="false" customHeight="false" outlineLevel="0" collapsed="false">
      <c r="A17" s="0" t="s">
        <v>661</v>
      </c>
      <c r="B17" s="0" t="s">
        <v>111</v>
      </c>
      <c r="C17" s="2" t="n">
        <f aca="false">MAX(0,C13-3*C14)</f>
        <v>655.749999999999</v>
      </c>
      <c r="D17" s="2" t="n">
        <f aca="false">MAX(0,D13-3*D14)</f>
        <v>0</v>
      </c>
      <c r="E17" s="2" t="n">
        <f aca="false">MAX(0,E13-3*E14)</f>
        <v>0</v>
      </c>
    </row>
    <row r="18" customFormat="false" ht="15" hidden="false" customHeight="false" outlineLevel="0" collapsed="false">
      <c r="A18" s="0" t="s">
        <v>662</v>
      </c>
      <c r="B18" s="0" t="s">
        <v>26</v>
      </c>
      <c r="C18" s="2" t="n">
        <f aca="false">C17/8*Inputs!C255</f>
        <v>40984.3749999999</v>
      </c>
      <c r="D18" s="2" t="n">
        <f aca="false">D17/8*Inputs!D255</f>
        <v>0</v>
      </c>
      <c r="E18" s="2" t="n">
        <f aca="false">E17/8*Inputs!E255</f>
        <v>0</v>
      </c>
      <c r="F18" s="2" t="n">
        <f aca="false">D18/Inputs!$D$4</f>
        <v>0</v>
      </c>
    </row>
    <row r="19" customFormat="false" ht="15" hidden="false" customHeight="false" outlineLevel="0" collapsed="false">
      <c r="A19" s="1" t="s">
        <v>663</v>
      </c>
      <c r="B19" s="6" t="s">
        <v>26</v>
      </c>
      <c r="C19" s="7" t="n">
        <f aca="false">C10+C11+C12+C18</f>
        <v>911684.375</v>
      </c>
      <c r="D19" s="7" t="n">
        <f aca="false">D10+D11+D12+D18</f>
        <v>868200</v>
      </c>
      <c r="E19" s="7" t="n">
        <f aca="false">E10+E11+E12+E18</f>
        <v>865700</v>
      </c>
      <c r="F19" s="2" t="n">
        <f aca="false">D19/Inputs!$D$4</f>
        <v>6684.1173300485</v>
      </c>
    </row>
    <row r="20" customFormat="false" ht="15" hidden="false" customHeight="false" outlineLevel="0" collapsed="false">
      <c r="A20" s="0" t="s">
        <v>664</v>
      </c>
      <c r="B20" s="0" t="s">
        <v>437</v>
      </c>
      <c r="C20" s="2" t="n">
        <f aca="false">C4+C5+C6</f>
        <v>66000</v>
      </c>
      <c r="D20" s="2" t="n">
        <f aca="false">D4+D5+D6</f>
        <v>66000</v>
      </c>
      <c r="E20" s="2" t="n">
        <f aca="false">E4+E5+E6</f>
        <v>66000</v>
      </c>
    </row>
    <row r="21" customFormat="false" ht="15" hidden="false" customHeight="false" outlineLevel="0" collapsed="false">
      <c r="A21" s="0" t="s">
        <v>665</v>
      </c>
      <c r="B21" s="0" t="s">
        <v>437</v>
      </c>
      <c r="C21" s="2" t="n">
        <f aca="false">(C10+C11)/36</f>
        <v>23700</v>
      </c>
      <c r="D21" s="2" t="n">
        <f aca="false">(D10+D11)/36</f>
        <v>23700</v>
      </c>
      <c r="E21" s="2" t="n">
        <f aca="false">(E10+E11)/36</f>
        <v>23700</v>
      </c>
    </row>
    <row r="22" customFormat="false" ht="15" hidden="false" customHeight="false" outlineLevel="0" collapsed="false">
      <c r="A22" s="0" t="s">
        <v>666</v>
      </c>
      <c r="B22" s="0" t="s">
        <v>72</v>
      </c>
      <c r="C22" s="10" t="n">
        <f aca="false">365/(5.5*52*(1-3/52))</f>
        <v>1.3543599257885</v>
      </c>
      <c r="D22" s="10" t="n">
        <f aca="false">365/(5.5*52*(1-3/52))</f>
        <v>1.3543599257885</v>
      </c>
      <c r="E22" s="10" t="n">
        <f aca="false">365/(5.5*52*(1-3/52))</f>
        <v>1.3543599257885</v>
      </c>
    </row>
    <row r="23" customFormat="false" ht="15" hidden="false" customHeight="false" outlineLevel="0" collapsed="false">
      <c r="A23" s="0" t="s">
        <v>667</v>
      </c>
      <c r="B23" s="0" t="s">
        <v>63</v>
      </c>
      <c r="C23" s="2" t="n">
        <f aca="false">Poultry!C244/3</f>
        <v>756.666666666667</v>
      </c>
      <c r="D23" s="2" t="n">
        <f aca="false">Poultry!D244/3</f>
        <v>756.666666666667</v>
      </c>
      <c r="E23" s="2" t="n">
        <f aca="false">Poultry!E244/3</f>
        <v>756.666666666667</v>
      </c>
    </row>
    <row r="24" customFormat="false" ht="15" hidden="false" customHeight="false" outlineLevel="0" collapsed="false">
      <c r="A24" s="0" t="s">
        <v>668</v>
      </c>
      <c r="B24" s="0" t="s">
        <v>35</v>
      </c>
      <c r="C24" s="8" t="n">
        <f aca="false">C19/Farm_PnL!C15</f>
        <v>0.280575592982689</v>
      </c>
      <c r="D24" s="8" t="n">
        <f aca="false">D19/Farm_PnL!D15</f>
        <v>0.178858003390927</v>
      </c>
      <c r="E24" s="8" t="n">
        <f aca="false">E19/Farm_PnL!E15</f>
        <v>0.123737490249795</v>
      </c>
    </row>
    <row r="25" customFormat="false" ht="15" hidden="false" customHeight="false" outlineLevel="0" collapsed="false">
      <c r="A25" s="0" t="s">
        <v>669</v>
      </c>
      <c r="B25" s="0" t="s">
        <v>35</v>
      </c>
      <c r="C25" s="8" t="str">
        <f aca="false">IF(Farm_PnL!C30&lt;=0,"GM&lt;=0",C19/Farm_PnL!C30)</f>
        <v>GM&lt;=0</v>
      </c>
      <c r="D25" s="8" t="n">
        <f aca="false">IF(Farm_PnL!D30&lt;=0,"GM&lt;=0",D19/Farm_PnL!D30)</f>
        <v>1.06030006275893</v>
      </c>
      <c r="E25" s="8" t="n">
        <f aca="false">IF(Farm_PnL!E30&lt;=0,"GM&lt;=0",E19/Farm_PnL!E30)</f>
        <v>0.24104572098081</v>
      </c>
    </row>
    <row r="26" customFormat="false" ht="15" hidden="false" customHeight="false" outlineLevel="0" collapsed="false">
      <c r="A26" s="0" t="s">
        <v>670</v>
      </c>
      <c r="B26" s="0" t="s">
        <v>76</v>
      </c>
      <c r="C26" s="10" t="n">
        <f aca="false">Farm_PnL!C30/Farm_PnL!C44</f>
        <v>-0.603670095515137</v>
      </c>
      <c r="D26" s="10" t="n">
        <f aca="false">Farm_PnL!D30/Farm_PnL!D44</f>
        <v>0.348194083157392</v>
      </c>
      <c r="E26" s="10" t="n">
        <f aca="false">Farm_PnL!E30/Farm_PnL!E44</f>
        <v>1.79453058197494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671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672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673</v>
      </c>
      <c r="B4" s="0" t="s">
        <v>26</v>
      </c>
      <c r="C4" s="2" t="n">
        <f aca="false">Inputs!C273</f>
        <v>4500000</v>
      </c>
      <c r="D4" s="2" t="n">
        <f aca="false">Inputs!D273</f>
        <v>4500000</v>
      </c>
      <c r="E4" s="2" t="n">
        <f aca="false">Inputs!E273</f>
        <v>4500000</v>
      </c>
      <c r="F4" s="2" t="n">
        <f aca="false">D4/Inputs!$D$4</f>
        <v>34644.6993609978</v>
      </c>
    </row>
    <row r="5" customFormat="false" ht="15" hidden="false" customHeight="false" outlineLevel="0" collapsed="false">
      <c r="A5" s="0" t="s">
        <v>674</v>
      </c>
      <c r="B5" s="0" t="s">
        <v>26</v>
      </c>
      <c r="C5" s="2" t="n">
        <f aca="false">Inputs!C273*(1-Inputs!C274)/Inputs!C275</f>
        <v>421875</v>
      </c>
      <c r="D5" s="2" t="n">
        <f aca="false">Inputs!D273*(1-Inputs!D274)/Inputs!D275</f>
        <v>337500</v>
      </c>
      <c r="E5" s="2" t="n">
        <f aca="false">Inputs!E273*(1-Inputs!E274)/Inputs!E275</f>
        <v>281250</v>
      </c>
      <c r="F5" s="2" t="n">
        <f aca="false">D5/Inputs!$D$4</f>
        <v>2598.35245207483</v>
      </c>
      <c r="G5" s="6" t="s">
        <v>675</v>
      </c>
    </row>
    <row r="6" customFormat="false" ht="15" hidden="false" customHeight="false" outlineLevel="0" collapsed="false">
      <c r="A6" s="0" t="s">
        <v>497</v>
      </c>
      <c r="B6" s="0" t="s">
        <v>26</v>
      </c>
      <c r="C6" s="2" t="n">
        <f aca="false">Inputs!C273*Inputs!C276</f>
        <v>225000</v>
      </c>
      <c r="D6" s="2" t="n">
        <f aca="false">Inputs!D273*Inputs!D276</f>
        <v>180000</v>
      </c>
      <c r="E6" s="2" t="n">
        <f aca="false">Inputs!E273*Inputs!E276</f>
        <v>135000</v>
      </c>
      <c r="F6" s="2" t="n">
        <f aca="false">D6/Inputs!$D$4</f>
        <v>1385.78797443991</v>
      </c>
    </row>
    <row r="7" customFormat="false" ht="15" hidden="false" customHeight="false" outlineLevel="0" collapsed="false">
      <c r="A7" s="0" t="s">
        <v>676</v>
      </c>
      <c r="B7" s="0" t="s">
        <v>26</v>
      </c>
      <c r="C7" s="2" t="n">
        <f aca="false">Inputs!C277</f>
        <v>4600</v>
      </c>
      <c r="D7" s="2" t="n">
        <f aca="false">Inputs!D277</f>
        <v>4600</v>
      </c>
      <c r="E7" s="2" t="n">
        <f aca="false">Inputs!E277</f>
        <v>4600</v>
      </c>
      <c r="F7" s="2" t="n">
        <f aca="false">D7/Inputs!$D$4</f>
        <v>35.4145815690199</v>
      </c>
    </row>
    <row r="8" customFormat="false" ht="15" hidden="false" customHeight="false" outlineLevel="0" collapsed="false">
      <c r="A8" s="0" t="s">
        <v>677</v>
      </c>
      <c r="B8" s="0" t="s">
        <v>26</v>
      </c>
      <c r="C8" s="2" t="n">
        <f aca="false">Inputs!C278</f>
        <v>40000</v>
      </c>
      <c r="D8" s="2" t="n">
        <f aca="false">Inputs!D278</f>
        <v>30000</v>
      </c>
      <c r="E8" s="2" t="n">
        <f aca="false">Inputs!E278</f>
        <v>25000</v>
      </c>
      <c r="F8" s="2" t="n">
        <f aca="false">D8/Inputs!$D$4</f>
        <v>230.964662406652</v>
      </c>
    </row>
    <row r="9" customFormat="false" ht="15" hidden="false" customHeight="false" outlineLevel="0" collapsed="false">
      <c r="A9" s="0" t="s">
        <v>678</v>
      </c>
      <c r="B9" s="0" t="s">
        <v>26</v>
      </c>
      <c r="C9" s="2" t="n">
        <f aca="false">Inputs!C273*Inputs!C279</f>
        <v>135000</v>
      </c>
      <c r="D9" s="2" t="n">
        <f aca="false">Inputs!D273*Inputs!D279</f>
        <v>90000</v>
      </c>
      <c r="E9" s="2" t="n">
        <f aca="false">Inputs!E273*Inputs!E279</f>
        <v>67500</v>
      </c>
      <c r="F9" s="2" t="n">
        <f aca="false">D9/Inputs!$D$4</f>
        <v>692.893987219955</v>
      </c>
    </row>
    <row r="10" customFormat="false" ht="15" hidden="false" customHeight="false" outlineLevel="0" collapsed="false">
      <c r="A10" s="1" t="s">
        <v>679</v>
      </c>
      <c r="B10" s="6" t="s">
        <v>26</v>
      </c>
      <c r="C10" s="7" t="n">
        <f aca="false">C6+C7+C8+C9</f>
        <v>404600</v>
      </c>
      <c r="D10" s="7" t="n">
        <f aca="false">D6+D7+D8+D9</f>
        <v>304600</v>
      </c>
      <c r="E10" s="7" t="n">
        <f aca="false">E6+E7+E8+E9</f>
        <v>232100</v>
      </c>
      <c r="F10" s="2" t="n">
        <f aca="false">D10/Inputs!$D$4</f>
        <v>2345.06120563554</v>
      </c>
    </row>
    <row r="11" customFormat="false" ht="15" hidden="false" customHeight="false" outlineLevel="0" collapsed="false">
      <c r="A11" s="1" t="s">
        <v>680</v>
      </c>
      <c r="B11" s="6" t="s">
        <v>26</v>
      </c>
      <c r="C11" s="7" t="n">
        <f aca="false">C10+C5</f>
        <v>826475</v>
      </c>
      <c r="D11" s="7" t="n">
        <f aca="false">D10+D5</f>
        <v>642100</v>
      </c>
      <c r="E11" s="7" t="n">
        <f aca="false">E10+E5</f>
        <v>513350</v>
      </c>
      <c r="F11" s="2" t="n">
        <f aca="false">D11/Inputs!$D$4</f>
        <v>4943.41365771037</v>
      </c>
    </row>
    <row r="12" customFormat="false" ht="15" hidden="false" customHeight="false" outlineLevel="0" collapsed="false">
      <c r="A12" s="4" t="s">
        <v>681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0" t="s">
        <v>682</v>
      </c>
      <c r="B13" s="0" t="s">
        <v>26</v>
      </c>
      <c r="C13" s="2" t="n">
        <f aca="false">Inputs!C283/Inputs!C281*Inputs!C282</f>
        <v>337500</v>
      </c>
      <c r="D13" s="2" t="n">
        <f aca="false">Inputs!D283/Inputs!D281*Inputs!D282</f>
        <v>197333.333333333</v>
      </c>
      <c r="E13" s="2" t="n">
        <f aca="false">Inputs!E283/Inputs!E281*Inputs!E282</f>
        <v>117272.727272727</v>
      </c>
      <c r="F13" s="2" t="n">
        <f aca="false">D13/Inputs!$D$4</f>
        <v>1519.23422383042</v>
      </c>
    </row>
    <row r="14" customFormat="false" ht="15" hidden="false" customHeight="false" outlineLevel="0" collapsed="false">
      <c r="A14" s="0" t="s">
        <v>504</v>
      </c>
      <c r="B14" s="0" t="s">
        <v>26</v>
      </c>
      <c r="C14" s="2" t="n">
        <f aca="false">Inputs!C283*Inputs!C280</f>
        <v>108000</v>
      </c>
      <c r="D14" s="2" t="n">
        <f aca="false">Inputs!D283*Inputs!D280</f>
        <v>56000</v>
      </c>
      <c r="E14" s="2" t="n">
        <f aca="false">Inputs!E283*Inputs!E280</f>
        <v>33000</v>
      </c>
      <c r="F14" s="2" t="n">
        <f aca="false">D14/Inputs!$D$4</f>
        <v>431.134036492417</v>
      </c>
    </row>
    <row r="15" customFormat="false" ht="15" hidden="false" customHeight="false" outlineLevel="0" collapsed="false">
      <c r="A15" s="0" t="s">
        <v>683</v>
      </c>
      <c r="B15" s="0" t="s">
        <v>26</v>
      </c>
      <c r="C15" s="2" t="n">
        <f aca="false">Inputs!C284*Inputs!C285</f>
        <v>140000</v>
      </c>
      <c r="D15" s="2" t="n">
        <f aca="false">Inputs!D284*Inputs!D285</f>
        <v>78000</v>
      </c>
      <c r="E15" s="2" t="n">
        <f aca="false">Inputs!E284*Inputs!E285</f>
        <v>48000</v>
      </c>
      <c r="F15" s="2" t="n">
        <f aca="false">D15/Inputs!$D$4</f>
        <v>600.508122257295</v>
      </c>
    </row>
    <row r="16" customFormat="false" ht="15" hidden="false" customHeight="false" outlineLevel="0" collapsed="false">
      <c r="A16" s="1" t="s">
        <v>684</v>
      </c>
      <c r="B16" s="6" t="s">
        <v>26</v>
      </c>
      <c r="C16" s="7" t="n">
        <f aca="false">C13+C14+C15</f>
        <v>585500</v>
      </c>
      <c r="D16" s="7" t="n">
        <f aca="false">D13+D14+D15</f>
        <v>331333.333333333</v>
      </c>
      <c r="E16" s="7" t="n">
        <f aca="false">E13+E14+E15</f>
        <v>198272.727272727</v>
      </c>
      <c r="F16" s="2" t="n">
        <f aca="false">D16/Inputs!$D$4</f>
        <v>2550.87638258013</v>
      </c>
    </row>
    <row r="17" customFormat="false" ht="15" hidden="false" customHeight="false" outlineLevel="0" collapsed="false">
      <c r="A17" s="0" t="s">
        <v>685</v>
      </c>
      <c r="B17" s="0" t="s">
        <v>26</v>
      </c>
      <c r="C17" s="2" t="n">
        <f aca="false">Inputs!C286*Inputs!C267</f>
        <v>27500</v>
      </c>
      <c r="D17" s="2" t="n">
        <f aca="false">Inputs!D286*Inputs!D267</f>
        <v>24000</v>
      </c>
      <c r="E17" s="2" t="n">
        <f aca="false">Inputs!E286*Inputs!E267</f>
        <v>20000</v>
      </c>
      <c r="F17" s="2" t="n">
        <f aca="false">D17/Inputs!$D$4</f>
        <v>184.771729925321</v>
      </c>
    </row>
    <row r="18" customFormat="false" ht="15" hidden="false" customHeight="false" outlineLevel="0" collapsed="false">
      <c r="A18" s="4" t="s">
        <v>686</v>
      </c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0" t="s">
        <v>687</v>
      </c>
      <c r="B19" s="0" t="s">
        <v>109</v>
      </c>
      <c r="C19" s="2" t="n">
        <f aca="false">Inputs!C287</f>
        <v>0</v>
      </c>
      <c r="D19" s="2" t="n">
        <f aca="false">Inputs!D287</f>
        <v>0</v>
      </c>
      <c r="E19" s="2" t="n">
        <f aca="false">Inputs!E287</f>
        <v>0</v>
      </c>
    </row>
    <row r="20" customFormat="false" ht="15" hidden="false" customHeight="false" outlineLevel="0" collapsed="false">
      <c r="A20" s="0" t="s">
        <v>688</v>
      </c>
      <c r="B20" s="0" t="s">
        <v>26</v>
      </c>
      <c r="C20" s="2" t="n">
        <f aca="false">C19*Inputs!C288</f>
        <v>0</v>
      </c>
      <c r="D20" s="2" t="n">
        <f aca="false">D19*Inputs!D288</f>
        <v>0</v>
      </c>
      <c r="E20" s="2" t="n">
        <f aca="false">E19*Inputs!E288</f>
        <v>0</v>
      </c>
      <c r="F20" s="2" t="n">
        <f aca="false">D20/Inputs!$D$4</f>
        <v>0</v>
      </c>
    </row>
    <row r="21" customFormat="false" ht="15" hidden="false" customHeight="false" outlineLevel="0" collapsed="false">
      <c r="A21" s="0" t="s">
        <v>689</v>
      </c>
      <c r="B21" s="0" t="s">
        <v>26</v>
      </c>
      <c r="C21" s="2" t="n">
        <f aca="false">C19*(Inputs!C289/Inputs!C281*Inputs!C282+Inputs!C289*Inputs!C280+Inputs!C290)</f>
        <v>0</v>
      </c>
      <c r="D21" s="2" t="n">
        <f aca="false">D19*(Inputs!D289/Inputs!D281*Inputs!D282+Inputs!D289*Inputs!D280+Inputs!D290)</f>
        <v>0</v>
      </c>
      <c r="E21" s="2" t="n">
        <f aca="false">E19*(Inputs!E289/Inputs!E281*Inputs!E282+Inputs!E289*Inputs!E280+Inputs!E290)</f>
        <v>0</v>
      </c>
      <c r="F21" s="2" t="n">
        <f aca="false">D21/Inputs!$D$4</f>
        <v>0</v>
      </c>
    </row>
    <row r="22" customFormat="false" ht="15" hidden="false" customHeight="false" outlineLevel="0" collapsed="false">
      <c r="A22" s="0" t="s">
        <v>690</v>
      </c>
      <c r="B22" s="0" t="s">
        <v>26</v>
      </c>
      <c r="C22" s="2" t="n">
        <f aca="false">C20-C21</f>
        <v>0</v>
      </c>
      <c r="D22" s="2" t="n">
        <f aca="false">D20-D21</f>
        <v>0</v>
      </c>
      <c r="E22" s="2" t="n">
        <f aca="false">E20-E21</f>
        <v>0</v>
      </c>
      <c r="F22" s="2" t="n">
        <f aca="false">D22/Inputs!$D$4</f>
        <v>0</v>
      </c>
    </row>
    <row r="23" customFormat="false" ht="15" hidden="false" customHeight="false" outlineLevel="0" collapsed="false">
      <c r="A23" s="4" t="s">
        <v>691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1" t="s">
        <v>692</v>
      </c>
      <c r="B24" s="6" t="s">
        <v>26</v>
      </c>
      <c r="C24" s="7" t="n">
        <f aca="false">C11+C16-C17-C22</f>
        <v>1384475</v>
      </c>
      <c r="D24" s="7" t="n">
        <f aca="false">D11+D16-D17-D22</f>
        <v>949433.333333333</v>
      </c>
      <c r="E24" s="7" t="n">
        <f aca="false">E11+E16-E17-E22</f>
        <v>691622.727272727</v>
      </c>
      <c r="F24" s="2" t="n">
        <f aca="false">D24/Inputs!$D$4</f>
        <v>7309.51831036518</v>
      </c>
    </row>
    <row r="25" customFormat="false" ht="15" hidden="false" customHeight="false" outlineLevel="0" collapsed="false">
      <c r="A25" s="1" t="s">
        <v>693</v>
      </c>
      <c r="B25" s="6" t="s">
        <v>26</v>
      </c>
      <c r="C25" s="7" t="n">
        <f aca="false">C24-C5</f>
        <v>962600</v>
      </c>
      <c r="D25" s="7" t="n">
        <f aca="false">D24-D5</f>
        <v>611933.333333333</v>
      </c>
      <c r="E25" s="7" t="n">
        <f aca="false">E24-E5</f>
        <v>410372.727272727</v>
      </c>
      <c r="F25" s="2" t="n">
        <f aca="false">D25/Inputs!$D$4</f>
        <v>4711.16585829035</v>
      </c>
    </row>
    <row r="26" customFormat="false" ht="15" hidden="false" customHeight="false" outlineLevel="0" collapsed="false">
      <c r="A26" s="0" t="s">
        <v>694</v>
      </c>
      <c r="B26" s="0" t="s">
        <v>35</v>
      </c>
      <c r="C26" s="8" t="str">
        <f aca="false">IF(Farm_PnL!C30&lt;=0,"GM&lt;=0",C24/Farm_PnL!C30)</f>
        <v>GM&lt;=0</v>
      </c>
      <c r="D26" s="8" t="n">
        <f aca="false">IF(Farm_PnL!D30&lt;=0,"GM&lt;=0",D24/Farm_PnL!D30)</f>
        <v>1.15950728279055</v>
      </c>
      <c r="E26" s="8" t="n">
        <f aca="false">IF(Farm_PnL!E30&lt;=0,"GM&lt;=0",E24/Farm_PnL!E30)</f>
        <v>0.192575602335877</v>
      </c>
    </row>
    <row r="27" customFormat="false" ht="15" hidden="false" customHeight="false" outlineLevel="0" collapsed="false">
      <c r="A27" s="4" t="s">
        <v>695</v>
      </c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0" t="s">
        <v>696</v>
      </c>
      <c r="B28" s="0" t="s">
        <v>457</v>
      </c>
      <c r="C28" s="2" t="n">
        <f aca="false">Inputs!C288-(Inputs!C289/Inputs!C281*Inputs!C282+Inputs!C289*Inputs!C280+Inputs!C290)</f>
        <v>4362.5</v>
      </c>
      <c r="D28" s="2" t="n">
        <f aca="false">Inputs!D288-(Inputs!D289/Inputs!D281*Inputs!D282+Inputs!D289*Inputs!D280+Inputs!D290)</f>
        <v>13000</v>
      </c>
      <c r="E28" s="2" t="n">
        <f aca="false">Inputs!E288-(Inputs!E289/Inputs!E281*Inputs!E282+Inputs!E289*Inputs!E280+Inputs!E290)</f>
        <v>21986.3636363636</v>
      </c>
    </row>
    <row r="29" customFormat="false" ht="15" hidden="false" customHeight="false" outlineLevel="0" collapsed="false">
      <c r="A29" s="1" t="s">
        <v>697</v>
      </c>
      <c r="B29" s="6" t="s">
        <v>109</v>
      </c>
      <c r="C29" s="18" t="n">
        <f aca="false">IF(C28&lt;=0,"never",(C11+C16-C17)/C28)</f>
        <v>317.358166189112</v>
      </c>
      <c r="D29" s="18" t="n">
        <f aca="false">IF(D28&lt;=0,"never",(D11+D16-D17)/D28)</f>
        <v>73.0333333333333</v>
      </c>
      <c r="E29" s="18" t="n">
        <f aca="false">IF(E28&lt;=0,"never",(E11+E16-E17)/E28)</f>
        <v>31.4568947694852</v>
      </c>
    </row>
    <row r="30" customFormat="false" ht="15" hidden="false" customHeight="false" outlineLevel="0" collapsed="false">
      <c r="A30" s="0" t="s">
        <v>698</v>
      </c>
      <c r="B30" s="0" t="s">
        <v>109</v>
      </c>
      <c r="C30" s="11" t="n">
        <f aca="false">IF(C28&lt;=0,"never",(C10+C16-C17)/C28)</f>
        <v>220.65329512894</v>
      </c>
      <c r="D30" s="11" t="n">
        <f aca="false">IF(D28&lt;=0,"never",(D10+D16-D17)/D28)</f>
        <v>47.0717948717949</v>
      </c>
      <c r="E30" s="11" t="n">
        <f aca="false">IF(E28&lt;=0,"never",(E10+E16-E17)/E28)</f>
        <v>18.6648749224726</v>
      </c>
    </row>
    <row r="31" customFormat="false" ht="15" hidden="false" customHeight="false" outlineLevel="0" collapsed="false">
      <c r="A31" s="0" t="s">
        <v>699</v>
      </c>
      <c r="B31" s="0" t="s">
        <v>35</v>
      </c>
      <c r="C31" s="8" t="n">
        <f aca="false">IF(ISNUMBER(C29),C29/250,"n/a")</f>
        <v>1.26943266475645</v>
      </c>
      <c r="D31" s="8" t="n">
        <f aca="false">IF(ISNUMBER(D29),D29/250,"n/a")</f>
        <v>0.292133333333333</v>
      </c>
      <c r="E31" s="8" t="n">
        <f aca="false">IF(ISNUMBER(E29),E29/250,"n/a")</f>
        <v>0.125827579077941</v>
      </c>
    </row>
    <row r="32" customFormat="false" ht="15" hidden="false" customHeight="false" outlineLevel="0" collapsed="false">
      <c r="A32" s="0" t="s">
        <v>700</v>
      </c>
      <c r="B32" s="0" t="s">
        <v>26</v>
      </c>
      <c r="C32" s="2" t="n">
        <f aca="false">C11+C16-C17-0*C28</f>
        <v>1384475</v>
      </c>
      <c r="D32" s="2" t="n">
        <f aca="false">D11+D16-D17-0*D28</f>
        <v>949433.333333333</v>
      </c>
      <c r="E32" s="2" t="n">
        <f aca="false">E11+E16-E17-0*E28</f>
        <v>691622.727272727</v>
      </c>
      <c r="F32" s="2" t="n">
        <f aca="false">D32/Inputs!$D$4</f>
        <v>7309.51831036518</v>
      </c>
    </row>
    <row r="33" customFormat="false" ht="15" hidden="false" customHeight="false" outlineLevel="0" collapsed="false">
      <c r="A33" s="0" t="s">
        <v>701</v>
      </c>
      <c r="B33" s="0" t="s">
        <v>26</v>
      </c>
      <c r="C33" s="2" t="n">
        <f aca="false">C11+C16-C17-25*C28</f>
        <v>1275412.5</v>
      </c>
      <c r="D33" s="2" t="n">
        <f aca="false">D11+D16-D17-25*D28</f>
        <v>624433.333333333</v>
      </c>
      <c r="E33" s="2" t="n">
        <f aca="false">E11+E16-E17-25*E28</f>
        <v>141963.636363636</v>
      </c>
      <c r="F33" s="2" t="n">
        <f aca="false">D33/Inputs!$D$4</f>
        <v>4807.40113429312</v>
      </c>
    </row>
    <row r="34" customFormat="false" ht="15" hidden="false" customHeight="false" outlineLevel="0" collapsed="false">
      <c r="A34" s="0" t="s">
        <v>702</v>
      </c>
      <c r="B34" s="0" t="s">
        <v>26</v>
      </c>
      <c r="C34" s="2" t="n">
        <f aca="false">C11+C16-C17-50*C28</f>
        <v>1166350</v>
      </c>
      <c r="D34" s="2" t="n">
        <f aca="false">D11+D16-D17-50*D28</f>
        <v>299433.333333333</v>
      </c>
      <c r="E34" s="2" t="n">
        <f aca="false">E11+E16-E17-50*E28</f>
        <v>-407695.454545455</v>
      </c>
      <c r="F34" s="2" t="n">
        <f aca="false">D34/Inputs!$D$4</f>
        <v>2305.28395822106</v>
      </c>
    </row>
    <row r="35" customFormat="false" ht="15" hidden="false" customHeight="false" outlineLevel="0" collapsed="false">
      <c r="A35" s="0" t="s">
        <v>703</v>
      </c>
      <c r="B35" s="0" t="s">
        <v>26</v>
      </c>
      <c r="C35" s="2" t="n">
        <f aca="false">C11+C16-C17-100*C28</f>
        <v>948225</v>
      </c>
      <c r="D35" s="2" t="n">
        <f aca="false">D11+D16-D17-100*D28</f>
        <v>-350566.666666667</v>
      </c>
      <c r="E35" s="2" t="n">
        <f aca="false">E11+E16-E17-100*E28</f>
        <v>-1507013.63636364</v>
      </c>
      <c r="F35" s="2" t="n">
        <f aca="false">D35/Inputs!$D$4</f>
        <v>-2698.95039392306</v>
      </c>
    </row>
    <row r="36" customFormat="false" ht="15" hidden="false" customHeight="false" outlineLevel="0" collapsed="false">
      <c r="A36" s="0" t="s">
        <v>704</v>
      </c>
      <c r="B36" s="0" t="s">
        <v>26</v>
      </c>
      <c r="C36" s="2" t="n">
        <f aca="false">C11+C16-C17-150*C28</f>
        <v>730100</v>
      </c>
      <c r="D36" s="2" t="n">
        <f aca="false">D11+D16-D17-150*D28</f>
        <v>-1000566.66666667</v>
      </c>
      <c r="E36" s="2" t="n">
        <f aca="false">E11+E16-E17-150*E28</f>
        <v>-2606331.81818182</v>
      </c>
      <c r="F36" s="2" t="n">
        <f aca="false">D36/Inputs!$D$4</f>
        <v>-7703.18474606719</v>
      </c>
    </row>
    <row r="37" customFormat="false" ht="15" hidden="false" customHeight="false" outlineLevel="0" collapsed="false">
      <c r="A37" s="0" t="s">
        <v>705</v>
      </c>
      <c r="B37" s="0" t="s">
        <v>26</v>
      </c>
      <c r="C37" s="2" t="n">
        <f aca="false">C11+C16-C17-200*C28</f>
        <v>511975</v>
      </c>
      <c r="D37" s="2" t="n">
        <f aca="false">D11+D16-D17-200*D28</f>
        <v>-1650566.66666667</v>
      </c>
      <c r="E37" s="2" t="n">
        <f aca="false">E11+E16-E17-200*E28</f>
        <v>-3705650</v>
      </c>
      <c r="F37" s="2" t="n">
        <f aca="false">D37/Inputs!$D$4</f>
        <v>-12707.4190982113</v>
      </c>
    </row>
    <row r="38" customFormat="false" ht="15" hidden="false" customHeight="false" outlineLevel="0" collapsed="false">
      <c r="A38" s="4" t="s">
        <v>706</v>
      </c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0" t="s">
        <v>707</v>
      </c>
      <c r="B39" s="0" t="s">
        <v>26</v>
      </c>
      <c r="C39" s="2" t="n">
        <f aca="false">Inputs!C273*(1-Inputs!C9)</f>
        <v>4275000</v>
      </c>
      <c r="D39" s="2" t="n">
        <f aca="false">Inputs!D273*(1-Inputs!D9)</f>
        <v>4275000</v>
      </c>
      <c r="E39" s="2" t="n">
        <f aca="false">Inputs!E273*(1-Inputs!E9)</f>
        <v>4275000</v>
      </c>
      <c r="F39" s="2" t="n">
        <f aca="false">D39/Inputs!$D$4</f>
        <v>32912.4643929479</v>
      </c>
    </row>
    <row r="40" customFormat="false" ht="15" hidden="false" customHeight="false" outlineLevel="0" collapsed="false">
      <c r="A40" s="0" t="s">
        <v>708</v>
      </c>
      <c r="B40" s="0" t="s">
        <v>26</v>
      </c>
      <c r="C40" s="2" t="n">
        <f aca="false">C39*Inputs!C5</f>
        <v>85500</v>
      </c>
      <c r="D40" s="2" t="n">
        <f aca="false">D39*Inputs!D5</f>
        <v>85500</v>
      </c>
      <c r="E40" s="2" t="n">
        <f aca="false">E39*Inputs!E5</f>
        <v>85500</v>
      </c>
      <c r="F40" s="2" t="n">
        <f aca="false">D40/Inputs!$D$4</f>
        <v>658.249287858958</v>
      </c>
    </row>
    <row r="41" customFormat="false" ht="15" hidden="false" customHeight="false" outlineLevel="0" collapsed="false">
      <c r="A41" s="1" t="s">
        <v>709</v>
      </c>
      <c r="B41" s="6" t="s">
        <v>26</v>
      </c>
      <c r="C41" s="7" t="n">
        <f aca="false">C24+C40</f>
        <v>1469975</v>
      </c>
      <c r="D41" s="7" t="n">
        <f aca="false">D24+D40</f>
        <v>1034933.33333333</v>
      </c>
      <c r="E41" s="7" t="n">
        <f aca="false">E24+E40</f>
        <v>777122.727272727</v>
      </c>
      <c r="F41" s="2" t="n">
        <f aca="false">D41/Inputs!$D$4</f>
        <v>7967.76759822414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710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711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712</v>
      </c>
      <c r="B4" s="0" t="s">
        <v>26</v>
      </c>
      <c r="C4" s="2" t="n">
        <f aca="false">Inputs!C11*Inputs!C12</f>
        <v>8050000</v>
      </c>
      <c r="D4" s="2" t="n">
        <f aca="false">Inputs!D11*Inputs!D12</f>
        <v>11500000</v>
      </c>
      <c r="E4" s="2" t="n">
        <f aca="false">Inputs!E11*Inputs!E12</f>
        <v>16100000</v>
      </c>
      <c r="F4" s="2" t="n">
        <f aca="false">D4/Inputs!$D$4</f>
        <v>88536.4539225499</v>
      </c>
      <c r="G4" s="6" t="s">
        <v>713</v>
      </c>
    </row>
    <row r="5" customFormat="false" ht="15" hidden="false" customHeight="false" outlineLevel="0" collapsed="false">
      <c r="A5" s="0" t="s">
        <v>714</v>
      </c>
      <c r="B5" s="0" t="s">
        <v>26</v>
      </c>
      <c r="C5" s="2" t="n">
        <f aca="false">Inputs!C17</f>
        <v>0</v>
      </c>
      <c r="D5" s="2" t="n">
        <f aca="false">Inputs!D17</f>
        <v>0</v>
      </c>
      <c r="E5" s="2" t="n">
        <f aca="false">Inputs!E17</f>
        <v>0</v>
      </c>
      <c r="F5" s="2" t="n">
        <f aca="false">D5/Inputs!$D$4</f>
        <v>0</v>
      </c>
    </row>
    <row r="6" customFormat="false" ht="15" hidden="false" customHeight="false" outlineLevel="0" collapsed="false">
      <c r="A6" s="0" t="s">
        <v>715</v>
      </c>
      <c r="B6" s="0" t="s">
        <v>26</v>
      </c>
      <c r="C6" s="2" t="n">
        <f aca="false">Inputs!C13</f>
        <v>2000000</v>
      </c>
      <c r="D6" s="2" t="n">
        <f aca="false">Inputs!D13</f>
        <v>2000000</v>
      </c>
      <c r="E6" s="2" t="n">
        <f aca="false">Inputs!E13</f>
        <v>2000000</v>
      </c>
      <c r="F6" s="2" t="n">
        <f aca="false">D6/Inputs!$D$4</f>
        <v>15397.6441604435</v>
      </c>
    </row>
    <row r="7" customFormat="false" ht="15" hidden="false" customHeight="false" outlineLevel="0" collapsed="false">
      <c r="A7" s="0" t="s">
        <v>156</v>
      </c>
      <c r="B7" s="0" t="s">
        <v>26</v>
      </c>
      <c r="C7" s="2" t="n">
        <f aca="false">Cattle!C19</f>
        <v>600000</v>
      </c>
      <c r="D7" s="2" t="n">
        <f aca="false">Cattle!D19</f>
        <v>600000</v>
      </c>
      <c r="E7" s="2" t="n">
        <f aca="false">Cattle!E19</f>
        <v>600000</v>
      </c>
      <c r="F7" s="2" t="n">
        <f aca="false">D7/Inputs!$D$4</f>
        <v>4619.29324813304</v>
      </c>
    </row>
    <row r="8" customFormat="false" ht="15" hidden="false" customHeight="false" outlineLevel="0" collapsed="false">
      <c r="A8" s="0" t="s">
        <v>47</v>
      </c>
      <c r="B8" s="0" t="s">
        <v>26</v>
      </c>
      <c r="C8" s="2" t="n">
        <f aca="false">Sheep!C16</f>
        <v>300000</v>
      </c>
      <c r="D8" s="2" t="n">
        <f aca="false">Sheep!D16</f>
        <v>300000</v>
      </c>
      <c r="E8" s="2" t="n">
        <f aca="false">Sheep!E16</f>
        <v>300000</v>
      </c>
      <c r="F8" s="2" t="n">
        <f aca="false">D8/Inputs!$D$4</f>
        <v>2309.64662406652</v>
      </c>
    </row>
    <row r="9" customFormat="false" ht="15" hidden="false" customHeight="false" outlineLevel="0" collapsed="false">
      <c r="A9" s="0" t="s">
        <v>48</v>
      </c>
      <c r="B9" s="0" t="s">
        <v>26</v>
      </c>
      <c r="C9" s="2" t="n">
        <f aca="false">Goats!C16</f>
        <v>65000</v>
      </c>
      <c r="D9" s="2" t="n">
        <f aca="false">Goats!D16</f>
        <v>65000</v>
      </c>
      <c r="E9" s="2" t="n">
        <f aca="false">Goats!E16</f>
        <v>65000</v>
      </c>
      <c r="F9" s="2" t="n">
        <f aca="false">D9/Inputs!$D$4</f>
        <v>500.423435214412</v>
      </c>
    </row>
    <row r="10" customFormat="false" ht="15" hidden="false" customHeight="false" outlineLevel="0" collapsed="false">
      <c r="A10" s="0" t="s">
        <v>716</v>
      </c>
      <c r="B10" s="0" t="s">
        <v>26</v>
      </c>
      <c r="C10" s="2" t="n">
        <f aca="false">Poultry!C261</f>
        <v>1230000</v>
      </c>
      <c r="D10" s="2" t="n">
        <f aca="false">Poultry!D261</f>
        <v>1230000</v>
      </c>
      <c r="E10" s="2" t="n">
        <f aca="false">Poultry!E261</f>
        <v>1230000</v>
      </c>
      <c r="F10" s="2" t="n">
        <f aca="false">D10/Inputs!$D$4</f>
        <v>9469.55115867272</v>
      </c>
    </row>
    <row r="11" customFormat="false" ht="15" hidden="false" customHeight="false" outlineLevel="0" collapsed="false">
      <c r="A11" s="1" t="s">
        <v>717</v>
      </c>
      <c r="B11" s="6" t="s">
        <v>26</v>
      </c>
      <c r="C11" s="7" t="n">
        <f aca="false">SUM(C7:C10)</f>
        <v>2195000</v>
      </c>
      <c r="D11" s="7" t="n">
        <f aca="false">SUM(D7:D10)</f>
        <v>2195000</v>
      </c>
      <c r="E11" s="7" t="n">
        <f aca="false">SUM(E7:E10)</f>
        <v>2195000</v>
      </c>
      <c r="F11" s="2" t="n">
        <f aca="false">D11/Inputs!$D$4</f>
        <v>16898.9144660867</v>
      </c>
    </row>
    <row r="12" customFormat="false" ht="15" hidden="false" customHeight="false" outlineLevel="0" collapsed="false">
      <c r="A12" s="0" t="s">
        <v>718</v>
      </c>
      <c r="B12" s="0" t="s">
        <v>26</v>
      </c>
      <c r="C12" s="2" t="n">
        <f aca="false">Inputs!C273</f>
        <v>4500000</v>
      </c>
      <c r="D12" s="2" t="n">
        <f aca="false">Inputs!D273</f>
        <v>4500000</v>
      </c>
      <c r="E12" s="2" t="n">
        <f aca="false">Inputs!E273</f>
        <v>4500000</v>
      </c>
      <c r="F12" s="2" t="n">
        <f aca="false">D12/Inputs!$D$4</f>
        <v>34644.6993609978</v>
      </c>
    </row>
    <row r="13" customFormat="false" ht="15" hidden="false" customHeight="false" outlineLevel="0" collapsed="false">
      <c r="A13" s="0" t="s">
        <v>719</v>
      </c>
      <c r="B13" s="0" t="s">
        <v>26</v>
      </c>
      <c r="C13" s="2" t="n">
        <f aca="false">Inputs!C67/12*(Farm_PnL!C59+Farm_PnL!C61)</f>
        <v>2055122.44047619</v>
      </c>
      <c r="D13" s="2" t="n">
        <f aca="false">Inputs!D67/12*(Farm_PnL!D59+Farm_PnL!D61)</f>
        <v>1577155.77639752</v>
      </c>
      <c r="E13" s="2" t="n">
        <f aca="false">Inputs!E67/12*(Farm_PnL!E59+Farm_PnL!E61)</f>
        <v>1266930.55471125</v>
      </c>
      <c r="F13" s="2" t="n">
        <f aca="false">D13/Inputs!$D$4</f>
        <v>12142.2417152784</v>
      </c>
    </row>
    <row r="14" customFormat="false" ht="15" hidden="false" customHeight="false" outlineLevel="0" collapsed="false">
      <c r="A14" s="1" t="s">
        <v>720</v>
      </c>
      <c r="B14" s="6" t="s">
        <v>26</v>
      </c>
      <c r="C14" s="7" t="n">
        <f aca="false">C4+C5+C6+C11+C12+C13</f>
        <v>18800122.4404762</v>
      </c>
      <c r="D14" s="7" t="n">
        <f aca="false">D4+D5+D6+D11+D12+D13</f>
        <v>21772155.7763975</v>
      </c>
      <c r="E14" s="7" t="n">
        <f aca="false">E4+E5+E6+E11+E12+E13</f>
        <v>26061930.5547112</v>
      </c>
      <c r="F14" s="2" t="n">
        <f aca="false">D14/Inputs!$D$4</f>
        <v>167619.953625356</v>
      </c>
    </row>
    <row r="15" customFormat="false" ht="15" hidden="false" customHeight="false" outlineLevel="0" collapsed="false">
      <c r="A15" s="1" t="s">
        <v>721</v>
      </c>
      <c r="B15" s="6" t="s">
        <v>26</v>
      </c>
      <c r="C15" s="7" t="n">
        <f aca="false">C14-C4</f>
        <v>10750122.4404762</v>
      </c>
      <c r="D15" s="7" t="n">
        <f aca="false">D14-D4</f>
        <v>10272155.7763975</v>
      </c>
      <c r="E15" s="7" t="n">
        <f aca="false">E14-E4</f>
        <v>9961930.55471125</v>
      </c>
      <c r="F15" s="2" t="n">
        <f aca="false">D15/Inputs!$D$4</f>
        <v>79083.4997028064</v>
      </c>
    </row>
    <row r="16" customFormat="false" ht="15" hidden="false" customHeight="false" outlineLevel="0" collapsed="false">
      <c r="A16" s="0" t="s">
        <v>722</v>
      </c>
      <c r="B16" s="0" t="s">
        <v>26</v>
      </c>
      <c r="C16" s="2" t="n">
        <f aca="false">C15-C12</f>
        <v>6250122.44047619</v>
      </c>
      <c r="D16" s="2" t="n">
        <f aca="false">D15-D12</f>
        <v>5772155.77639752</v>
      </c>
      <c r="E16" s="2" t="n">
        <f aca="false">E15-E12</f>
        <v>5461930.55471125</v>
      </c>
      <c r="F16" s="2" t="n">
        <f aca="false">D16/Inputs!$D$4</f>
        <v>44438.8003418086</v>
      </c>
    </row>
    <row r="17" customFormat="false" ht="15" hidden="false" customHeight="false" outlineLevel="0" collapsed="false">
      <c r="A17" s="4" t="s">
        <v>723</v>
      </c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0" t="s">
        <v>724</v>
      </c>
      <c r="B18" s="0" t="s">
        <v>26</v>
      </c>
      <c r="C18" s="2" t="n">
        <f aca="false">C4+C11+C12</f>
        <v>14745000</v>
      </c>
      <c r="D18" s="2" t="n">
        <f aca="false">D4+D11+D12</f>
        <v>18195000</v>
      </c>
      <c r="E18" s="2" t="n">
        <f aca="false">E4+E11+E12</f>
        <v>22795000</v>
      </c>
      <c r="F18" s="2" t="n">
        <f aca="false">D18/Inputs!$D$4</f>
        <v>140080.067749634</v>
      </c>
    </row>
    <row r="19" customFormat="false" ht="15" hidden="false" customHeight="false" outlineLevel="0" collapsed="false">
      <c r="A19" s="0" t="s">
        <v>725</v>
      </c>
      <c r="B19" s="0" t="s">
        <v>91</v>
      </c>
      <c r="C19" s="0" t="str">
        <f aca="false">IF(C18&gt;Inputs!C13,"No: land, animals and lorry alone exceed KES 2m","Possible")</f>
        <v>No: land, animals and lorry alone exceed KES 2m</v>
      </c>
      <c r="D19" s="0" t="str">
        <f aca="false">IF(D18&gt;Inputs!D13,"No: land, animals and lorry alone exceed KES 2m","Possible")</f>
        <v>No: land, animals and lorry alone exceed KES 2m</v>
      </c>
      <c r="E19" s="0" t="str">
        <f aca="false">IF(E18&gt;Inputs!E13,"No: land, animals and lorry alone exceed KES 2m","Possible")</f>
        <v>No: land, animals and lorry alone exceed KES 2m</v>
      </c>
    </row>
    <row r="20" customFormat="false" ht="15" hidden="false" customHeight="false" outlineLevel="0" collapsed="false">
      <c r="A20" s="0" t="s">
        <v>726</v>
      </c>
      <c r="B20" s="0" t="s">
        <v>91</v>
      </c>
      <c r="C20" s="0" t="str">
        <f aca="false">IF(C11&gt;Inputs!C13,"Animals alone exceed KES 2m","Animals below KES 2m")</f>
        <v>Animals alone exceed KES 2m</v>
      </c>
      <c r="D20" s="0" t="str">
        <f aca="false">IF(D11&gt;Inputs!D13,"Animals alone exceed KES 2m","Animals below KES 2m")</f>
        <v>Animals alone exceed KES 2m</v>
      </c>
      <c r="E20" s="0" t="str">
        <f aca="false">IF(E11&gt;Inputs!E13,"Animals alone exceed KES 2m","Animals below KES 2m")</f>
        <v>Animals alone exceed KES 2m</v>
      </c>
    </row>
    <row r="21" customFormat="false" ht="15" hidden="false" customHeight="false" outlineLevel="0" collapsed="false">
      <c r="A21" s="4" t="s">
        <v>727</v>
      </c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0" t="s">
        <v>728</v>
      </c>
      <c r="B22" s="0" t="s">
        <v>35</v>
      </c>
      <c r="C22" s="8" t="n">
        <f aca="false">Farm_PnL!C46/C15</f>
        <v>-0.435471188319116</v>
      </c>
      <c r="D22" s="8" t="n">
        <f aca="false">Farm_PnL!D46/D15</f>
        <v>-0.149219750389001</v>
      </c>
      <c r="E22" s="8" t="n">
        <f aca="false">Farm_PnL!E46/E15</f>
        <v>0.159618871310809</v>
      </c>
    </row>
    <row r="23" customFormat="false" ht="15" hidden="false" customHeight="false" outlineLevel="0" collapsed="false">
      <c r="A23" s="0" t="s">
        <v>729</v>
      </c>
      <c r="B23" s="0" t="s">
        <v>35</v>
      </c>
      <c r="C23" s="8" t="n">
        <f aca="false">Farm_PnL!C46/C14</f>
        <v>-0.249007346018731</v>
      </c>
      <c r="D23" s="8" t="n">
        <f aca="false">Farm_PnL!D46/D14</f>
        <v>-0.0704022392937607</v>
      </c>
      <c r="E23" s="8" t="n">
        <f aca="false">Farm_PnL!E46/E14</f>
        <v>0.0610128289568413</v>
      </c>
    </row>
    <row r="24" customFormat="false" ht="15" hidden="false" customHeight="false" outlineLevel="0" collapsed="false">
      <c r="A24" s="0" t="s">
        <v>730</v>
      </c>
      <c r="B24" s="0" t="s">
        <v>35</v>
      </c>
      <c r="C24" s="8" t="n">
        <f aca="false">C4/C14</f>
        <v>0.428188700658063</v>
      </c>
      <c r="D24" s="8" t="n">
        <f aca="false">D4/D14</f>
        <v>0.52819758034557</v>
      </c>
      <c r="E24" s="8" t="n">
        <f aca="false">E4/E14</f>
        <v>0.617759300916009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100"/>
  </cols>
  <sheetData>
    <row r="1" customFormat="false" ht="15" hidden="false" customHeight="false" outlineLevel="0" collapsed="false">
      <c r="A1" s="1" t="s">
        <v>731</v>
      </c>
    </row>
    <row r="2" customFormat="false" ht="15" hidden="false" customHeight="false" outlineLevel="0" collapsed="false">
      <c r="A2" s="19" t="s">
        <v>732</v>
      </c>
      <c r="B2" s="19" t="s">
        <v>733</v>
      </c>
      <c r="C2" s="19" t="s">
        <v>734</v>
      </c>
      <c r="D2" s="19" t="s">
        <v>735</v>
      </c>
      <c r="E2" s="19" t="s">
        <v>736</v>
      </c>
      <c r="F2" s="19" t="s">
        <v>737</v>
      </c>
      <c r="G2" s="19" t="s">
        <v>738</v>
      </c>
      <c r="H2" s="19" t="s">
        <v>23</v>
      </c>
    </row>
    <row r="3" customFormat="false" ht="15" hidden="false" customHeight="false" outlineLevel="0" collapsed="false">
      <c r="A3" s="20" t="s">
        <v>739</v>
      </c>
      <c r="B3" s="20" t="s">
        <v>740</v>
      </c>
      <c r="C3" s="14" t="n">
        <v>72000</v>
      </c>
      <c r="D3" s="14" t="n">
        <v>48000</v>
      </c>
      <c r="E3" s="21" t="s">
        <v>741</v>
      </c>
      <c r="F3" s="21" t="n">
        <f aca="false">C3/Inputs!$D$4</f>
        <v>554.315189775964</v>
      </c>
      <c r="G3" s="21" t="n">
        <f aca="false">D3/Inputs!$D$4</f>
        <v>369.543459850643</v>
      </c>
      <c r="H3" s="20" t="s">
        <v>742</v>
      </c>
    </row>
    <row r="4" customFormat="false" ht="15" hidden="false" customHeight="false" outlineLevel="0" collapsed="false">
      <c r="A4" s="20" t="s">
        <v>743</v>
      </c>
      <c r="B4" s="20" t="s">
        <v>740</v>
      </c>
      <c r="C4" s="14" t="n">
        <v>60000</v>
      </c>
      <c r="D4" s="14" t="n">
        <v>18000</v>
      </c>
      <c r="E4" s="21" t="s">
        <v>744</v>
      </c>
      <c r="F4" s="21" t="n">
        <f aca="false">C4/Inputs!$D$4</f>
        <v>461.929324813304</v>
      </c>
      <c r="G4" s="21" t="n">
        <f aca="false">D4/Inputs!$D$4</f>
        <v>138.578797443991</v>
      </c>
      <c r="H4" s="20" t="s">
        <v>745</v>
      </c>
    </row>
    <row r="5" customFormat="false" ht="15" hidden="false" customHeight="false" outlineLevel="0" collapsed="false">
      <c r="A5" s="20" t="s">
        <v>746</v>
      </c>
      <c r="B5" s="20" t="s">
        <v>740</v>
      </c>
      <c r="C5" s="14" t="n">
        <v>80000</v>
      </c>
      <c r="D5" s="14" t="n">
        <v>36000</v>
      </c>
      <c r="E5" s="21" t="s">
        <v>747</v>
      </c>
      <c r="F5" s="21" t="n">
        <f aca="false">C5/Inputs!$D$4</f>
        <v>615.905766417738</v>
      </c>
      <c r="G5" s="21" t="n">
        <f aca="false">D5/Inputs!$D$4</f>
        <v>277.157594887982</v>
      </c>
      <c r="H5" s="20" t="s">
        <v>748</v>
      </c>
    </row>
    <row r="6" customFormat="false" ht="15" hidden="false" customHeight="false" outlineLevel="0" collapsed="false">
      <c r="A6" s="20" t="s">
        <v>749</v>
      </c>
      <c r="B6" s="20" t="s">
        <v>740</v>
      </c>
      <c r="C6" s="14" t="n">
        <v>120000</v>
      </c>
      <c r="D6" s="14" t="n">
        <v>24000</v>
      </c>
      <c r="E6" s="21" t="s">
        <v>750</v>
      </c>
      <c r="F6" s="21" t="n">
        <f aca="false">C6/Inputs!$D$4</f>
        <v>923.858649626607</v>
      </c>
      <c r="G6" s="21" t="n">
        <f aca="false">D6/Inputs!$D$4</f>
        <v>184.771729925321</v>
      </c>
      <c r="H6" s="20" t="s">
        <v>751</v>
      </c>
    </row>
    <row r="7" customFormat="false" ht="15" hidden="false" customHeight="false" outlineLevel="0" collapsed="false">
      <c r="A7" s="20" t="s">
        <v>752</v>
      </c>
      <c r="B7" s="20" t="s">
        <v>740</v>
      </c>
      <c r="C7" s="14" t="n">
        <v>60000</v>
      </c>
      <c r="D7" s="14" t="n">
        <v>0</v>
      </c>
      <c r="E7" s="21" t="s">
        <v>753</v>
      </c>
      <c r="F7" s="21" t="n">
        <f aca="false">C7/Inputs!$D$4</f>
        <v>461.929324813304</v>
      </c>
      <c r="G7" s="21" t="n">
        <f aca="false">D7/Inputs!$D$4</f>
        <v>0</v>
      </c>
      <c r="H7" s="20" t="s">
        <v>754</v>
      </c>
    </row>
    <row r="8" customFormat="false" ht="15" hidden="false" customHeight="false" outlineLevel="0" collapsed="false">
      <c r="A8" s="20" t="s">
        <v>755</v>
      </c>
      <c r="B8" s="20" t="s">
        <v>740</v>
      </c>
      <c r="C8" s="14" t="n">
        <v>120000</v>
      </c>
      <c r="D8" s="14" t="n">
        <v>36000</v>
      </c>
      <c r="E8" s="21" t="s">
        <v>744</v>
      </c>
      <c r="F8" s="21" t="n">
        <f aca="false">C8/Inputs!$D$4</f>
        <v>923.858649626607</v>
      </c>
      <c r="G8" s="21" t="n">
        <f aca="false">D8/Inputs!$D$4</f>
        <v>277.157594887982</v>
      </c>
      <c r="H8" s="20" t="s">
        <v>756</v>
      </c>
    </row>
    <row r="9" customFormat="false" ht="15" hidden="false" customHeight="false" outlineLevel="0" collapsed="false">
      <c r="A9" s="20" t="s">
        <v>757</v>
      </c>
      <c r="B9" s="20" t="s">
        <v>740</v>
      </c>
      <c r="C9" s="14" t="n">
        <v>12000</v>
      </c>
      <c r="D9" s="14" t="n">
        <v>0</v>
      </c>
      <c r="E9" s="21" t="s">
        <v>753</v>
      </c>
      <c r="F9" s="21" t="n">
        <f aca="false">C9/Inputs!$D$4</f>
        <v>92.3858649626607</v>
      </c>
      <c r="G9" s="21" t="n">
        <f aca="false">D9/Inputs!$D$4</f>
        <v>0</v>
      </c>
      <c r="H9" s="20" t="s">
        <v>758</v>
      </c>
    </row>
    <row r="10" customFormat="false" ht="15" hidden="false" customHeight="false" outlineLevel="0" collapsed="false">
      <c r="A10" s="20" t="s">
        <v>759</v>
      </c>
      <c r="B10" s="20" t="s">
        <v>740</v>
      </c>
      <c r="C10" s="14" t="n">
        <v>20000</v>
      </c>
      <c r="D10" s="14" t="n">
        <v>0</v>
      </c>
      <c r="E10" s="21" t="s">
        <v>753</v>
      </c>
      <c r="F10" s="21" t="n">
        <f aca="false">C10/Inputs!$D$4</f>
        <v>153.976441604435</v>
      </c>
      <c r="G10" s="21" t="n">
        <f aca="false">D10/Inputs!$D$4</f>
        <v>0</v>
      </c>
      <c r="H10" s="20" t="s">
        <v>760</v>
      </c>
    </row>
    <row r="11" customFormat="false" ht="15" hidden="false" customHeight="false" outlineLevel="0" collapsed="false">
      <c r="A11" s="20" t="s">
        <v>761</v>
      </c>
      <c r="B11" s="20" t="s">
        <v>740</v>
      </c>
      <c r="C11" s="14" t="n">
        <v>50000</v>
      </c>
      <c r="D11" s="14" t="n">
        <v>15000</v>
      </c>
      <c r="E11" s="21" t="s">
        <v>747</v>
      </c>
      <c r="F11" s="21" t="n">
        <f aca="false">C11/Inputs!$D$4</f>
        <v>384.941104011086</v>
      </c>
      <c r="G11" s="21" t="n">
        <f aca="false">D11/Inputs!$D$4</f>
        <v>115.482331203326</v>
      </c>
      <c r="H11" s="20" t="s">
        <v>762</v>
      </c>
    </row>
    <row r="12" customFormat="false" ht="15" hidden="false" customHeight="false" outlineLevel="0" collapsed="false">
      <c r="A12" s="20" t="s">
        <v>763</v>
      </c>
      <c r="B12" s="20" t="s">
        <v>740</v>
      </c>
      <c r="C12" s="14" t="n">
        <v>20000</v>
      </c>
      <c r="D12" s="14" t="n">
        <v>0</v>
      </c>
      <c r="E12" s="21" t="s">
        <v>753</v>
      </c>
      <c r="F12" s="21" t="n">
        <f aca="false">C12/Inputs!$D$4</f>
        <v>153.976441604435</v>
      </c>
      <c r="G12" s="21" t="n">
        <f aca="false">D12/Inputs!$D$4</f>
        <v>0</v>
      </c>
      <c r="H12" s="20" t="s">
        <v>764</v>
      </c>
    </row>
    <row r="13" customFormat="false" ht="15" hidden="false" customHeight="false" outlineLevel="0" collapsed="false">
      <c r="A13" s="20" t="s">
        <v>765</v>
      </c>
      <c r="B13" s="20" t="s">
        <v>740</v>
      </c>
      <c r="C13" s="14" t="n">
        <v>20000</v>
      </c>
      <c r="D13" s="14" t="n">
        <v>11000</v>
      </c>
      <c r="E13" s="21" t="s">
        <v>766</v>
      </c>
      <c r="F13" s="21" t="n">
        <f aca="false">C13/Inputs!$D$4</f>
        <v>153.976441604435</v>
      </c>
      <c r="G13" s="21" t="n">
        <f aca="false">D13/Inputs!$D$4</f>
        <v>84.687042882439</v>
      </c>
      <c r="H13" s="20" t="s">
        <v>767</v>
      </c>
    </row>
    <row r="14" customFormat="false" ht="15" hidden="false" customHeight="false" outlineLevel="0" collapsed="false">
      <c r="A14" s="20" t="s">
        <v>768</v>
      </c>
      <c r="B14" s="20" t="s">
        <v>740</v>
      </c>
      <c r="C14" s="14" t="n">
        <v>180000</v>
      </c>
      <c r="D14" s="14" t="n">
        <v>0</v>
      </c>
      <c r="E14" s="21" t="s">
        <v>753</v>
      </c>
      <c r="F14" s="21" t="n">
        <f aca="false">C14/Inputs!$D$4</f>
        <v>1385.78797443991</v>
      </c>
      <c r="G14" s="21" t="n">
        <f aca="false">D14/Inputs!$D$4</f>
        <v>0</v>
      </c>
      <c r="H14" s="20" t="s">
        <v>769</v>
      </c>
    </row>
    <row r="15" customFormat="false" ht="15" hidden="false" customHeight="false" outlineLevel="0" collapsed="false">
      <c r="A15" s="20" t="s">
        <v>770</v>
      </c>
      <c r="B15" s="20" t="s">
        <v>740</v>
      </c>
      <c r="C15" s="14" t="n">
        <v>100000</v>
      </c>
      <c r="D15" s="14" t="n">
        <v>0</v>
      </c>
      <c r="E15" s="21" t="s">
        <v>753</v>
      </c>
      <c r="F15" s="21" t="n">
        <f aca="false">C15/Inputs!$D$4</f>
        <v>769.882208022173</v>
      </c>
      <c r="G15" s="21" t="n">
        <f aca="false">D15/Inputs!$D$4</f>
        <v>0</v>
      </c>
      <c r="H15" s="20" t="s">
        <v>771</v>
      </c>
    </row>
    <row r="16" customFormat="false" ht="15" hidden="false" customHeight="false" outlineLevel="0" collapsed="false">
      <c r="A16" s="20" t="s">
        <v>772</v>
      </c>
      <c r="B16" s="20" t="s">
        <v>740</v>
      </c>
      <c r="C16" s="14" t="n">
        <v>80000</v>
      </c>
      <c r="D16" s="14" t="n">
        <v>0</v>
      </c>
      <c r="E16" s="21" t="s">
        <v>753</v>
      </c>
      <c r="F16" s="21" t="n">
        <f aca="false">C16/Inputs!$D$4</f>
        <v>615.905766417738</v>
      </c>
      <c r="G16" s="21" t="n">
        <f aca="false">D16/Inputs!$D$4</f>
        <v>0</v>
      </c>
      <c r="H16" s="20" t="s">
        <v>773</v>
      </c>
    </row>
    <row r="17" customFormat="false" ht="15" hidden="false" customHeight="false" outlineLevel="0" collapsed="false">
      <c r="A17" s="1" t="s">
        <v>774</v>
      </c>
      <c r="C17" s="7" t="n">
        <f aca="false">SUM(C3:C16)</f>
        <v>994000</v>
      </c>
      <c r="D17" s="7" t="n">
        <f aca="false">SUM(D3:D16)</f>
        <v>188000</v>
      </c>
      <c r="F17" s="21" t="n">
        <f aca="false">C17/Inputs!$D$4</f>
        <v>7652.6291477404</v>
      </c>
      <c r="G17" s="21" t="n">
        <f aca="false">D17/Inputs!$D$4</f>
        <v>1447.37855108168</v>
      </c>
    </row>
    <row r="18" customFormat="false" ht="15" hidden="false" customHeight="false" outlineLevel="0" collapsed="false">
      <c r="A18" s="20" t="s">
        <v>775</v>
      </c>
      <c r="C18" s="21" t="n">
        <f aca="false">C3+C4+C5+C8+C11</f>
        <v>382000</v>
      </c>
      <c r="D18" s="21" t="n">
        <f aca="false">D3+D4+D5+D8+D11</f>
        <v>153000</v>
      </c>
      <c r="F18" s="21" t="n">
        <f aca="false">C18/Inputs!$D$4</f>
        <v>2940.9500346447</v>
      </c>
      <c r="G18" s="21" t="n">
        <f aca="false">D18/Inputs!$D$4</f>
        <v>1177.91977827392</v>
      </c>
    </row>
    <row r="20" customFormat="false" ht="15" hidden="false" customHeight="false" outlineLevel="0" collapsed="false">
      <c r="A20" s="1" t="s">
        <v>776</v>
      </c>
    </row>
    <row r="21" customFormat="false" ht="15" hidden="false" customHeight="false" outlineLevel="0" collapsed="false">
      <c r="A21" s="20" t="s">
        <v>777</v>
      </c>
      <c r="B21" s="20" t="s">
        <v>778</v>
      </c>
      <c r="C21" s="14" t="n">
        <v>420000</v>
      </c>
      <c r="D21" s="14" t="n">
        <v>0</v>
      </c>
      <c r="E21" s="21" t="s">
        <v>753</v>
      </c>
      <c r="F21" s="21" t="n">
        <f aca="false">C21/Inputs!$D$4</f>
        <v>3233.50527369313</v>
      </c>
      <c r="G21" s="21" t="n">
        <f aca="false">D21/Inputs!$D$4</f>
        <v>0</v>
      </c>
      <c r="H21" s="20" t="s">
        <v>779</v>
      </c>
    </row>
    <row r="22" customFormat="false" ht="15" hidden="false" customHeight="false" outlineLevel="0" collapsed="false">
      <c r="A22" s="20" t="s">
        <v>780</v>
      </c>
      <c r="B22" s="20" t="s">
        <v>778</v>
      </c>
      <c r="C22" s="14" t="n">
        <v>240000</v>
      </c>
      <c r="D22" s="14" t="n">
        <v>0</v>
      </c>
      <c r="E22" s="21" t="s">
        <v>753</v>
      </c>
      <c r="F22" s="21" t="n">
        <f aca="false">C22/Inputs!$D$4</f>
        <v>1847.71729925321</v>
      </c>
      <c r="G22" s="21" t="n">
        <f aca="false">D22/Inputs!$D$4</f>
        <v>0</v>
      </c>
      <c r="H22" s="20" t="s">
        <v>781</v>
      </c>
    </row>
    <row r="23" customFormat="false" ht="15" hidden="false" customHeight="false" outlineLevel="0" collapsed="false">
      <c r="A23" s="20" t="s">
        <v>782</v>
      </c>
      <c r="B23" s="20" t="s">
        <v>778</v>
      </c>
      <c r="C23" s="14" t="n">
        <v>0</v>
      </c>
      <c r="D23" s="14" t="n">
        <v>72000</v>
      </c>
      <c r="E23" s="21" t="s">
        <v>783</v>
      </c>
      <c r="F23" s="21" t="n">
        <f aca="false">C23/Inputs!$D$4</f>
        <v>0</v>
      </c>
      <c r="G23" s="21" t="n">
        <f aca="false">D23/Inputs!$D$4</f>
        <v>554.315189775964</v>
      </c>
      <c r="H23" s="20" t="s">
        <v>784</v>
      </c>
    </row>
    <row r="24" customFormat="false" ht="15" hidden="false" customHeight="false" outlineLevel="0" collapsed="false">
      <c r="A24" s="1" t="s">
        <v>785</v>
      </c>
      <c r="C24" s="7" t="n">
        <f aca="false">SUM(C21:C23)</f>
        <v>660000</v>
      </c>
      <c r="D24" s="7" t="n">
        <f aca="false">SUM(D21:D23)</f>
        <v>72000</v>
      </c>
      <c r="F24" s="21" t="n">
        <f aca="false">C24/Inputs!$D$4</f>
        <v>5081.22257294634</v>
      </c>
      <c r="G24" s="21" t="n">
        <f aca="false">D24/Inputs!$D$4</f>
        <v>554.315189775964</v>
      </c>
    </row>
    <row r="25" customFormat="false" ht="15" hidden="false" customHeight="false" outlineLevel="0" collapsed="false">
      <c r="A25" s="1" t="s">
        <v>786</v>
      </c>
      <c r="C25" s="7" t="n">
        <f aca="false">C17+C24</f>
        <v>1654000</v>
      </c>
      <c r="D25" s="7" t="n">
        <f aca="false">D17+D24</f>
        <v>260000</v>
      </c>
      <c r="F25" s="21" t="n">
        <f aca="false">C25/Inputs!$D$4</f>
        <v>12733.8517206867</v>
      </c>
      <c r="G25" s="21" t="n">
        <f aca="false">D25/Inputs!$D$4</f>
        <v>2001.69374085765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787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25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46</v>
      </c>
      <c r="B4" s="0" t="s">
        <v>26</v>
      </c>
      <c r="C4" s="2" t="n">
        <f aca="false">Cattle!C8</f>
        <v>308080</v>
      </c>
      <c r="D4" s="2" t="n">
        <f aca="false">Cattle!D8</f>
        <v>444800</v>
      </c>
      <c r="E4" s="2" t="n">
        <f aca="false">Cattle!E8</f>
        <v>676450</v>
      </c>
      <c r="F4" s="2" t="n">
        <f aca="false">D4/Inputs!$D$4</f>
        <v>3424.43606128262</v>
      </c>
    </row>
    <row r="5" customFormat="false" ht="15" hidden="false" customHeight="false" outlineLevel="0" collapsed="false">
      <c r="A5" s="0" t="s">
        <v>47</v>
      </c>
      <c r="B5" s="0" t="s">
        <v>26</v>
      </c>
      <c r="C5" s="2" t="n">
        <f aca="false">Sheep!C7</f>
        <v>140616</v>
      </c>
      <c r="D5" s="2" t="n">
        <f aca="false">Sheep!D7</f>
        <v>228480</v>
      </c>
      <c r="E5" s="2" t="n">
        <f aca="false">Sheep!E7</f>
        <v>350784</v>
      </c>
      <c r="F5" s="2" t="n">
        <f aca="false">D5/Inputs!$D$4</f>
        <v>1759.02686888906</v>
      </c>
    </row>
    <row r="6" customFormat="false" ht="15" hidden="false" customHeight="false" outlineLevel="0" collapsed="false">
      <c r="A6" s="0" t="s">
        <v>48</v>
      </c>
      <c r="B6" s="0" t="s">
        <v>26</v>
      </c>
      <c r="C6" s="2" t="n">
        <f aca="false">Goats!C7</f>
        <v>43120</v>
      </c>
      <c r="D6" s="2" t="n">
        <f aca="false">Goats!D7</f>
        <v>62400</v>
      </c>
      <c r="E6" s="2" t="n">
        <f aca="false">Goats!E7</f>
        <v>88948.8</v>
      </c>
      <c r="F6" s="2" t="n">
        <f aca="false">D6/Inputs!$D$4</f>
        <v>480.406497805836</v>
      </c>
    </row>
    <row r="7" customFormat="false" ht="15" hidden="false" customHeight="false" outlineLevel="0" collapsed="false">
      <c r="A7" s="0" t="s">
        <v>49</v>
      </c>
      <c r="B7" s="0" t="s">
        <v>26</v>
      </c>
      <c r="C7" s="2" t="n">
        <f aca="false">Poultry!C14</f>
        <v>596280</v>
      </c>
      <c r="D7" s="2" t="n">
        <f aca="false">Poultry!D14</f>
        <v>896500</v>
      </c>
      <c r="E7" s="2" t="n">
        <f aca="false">Poultry!E14</f>
        <v>1268720</v>
      </c>
      <c r="F7" s="2" t="n">
        <f aca="false">D7/Inputs!$D$4</f>
        <v>6901.99399491878</v>
      </c>
    </row>
    <row r="8" customFormat="false" ht="15" hidden="false" customHeight="false" outlineLevel="0" collapsed="false">
      <c r="A8" s="0" t="s">
        <v>50</v>
      </c>
      <c r="B8" s="0" t="s">
        <v>26</v>
      </c>
      <c r="C8" s="2" t="n">
        <f aca="false">Poultry!C44</f>
        <v>596280</v>
      </c>
      <c r="D8" s="2" t="n">
        <f aca="false">Poultry!D44</f>
        <v>896500</v>
      </c>
      <c r="E8" s="2" t="n">
        <f aca="false">Poultry!E44</f>
        <v>1268720</v>
      </c>
      <c r="F8" s="2" t="n">
        <f aca="false">D8/Inputs!$D$4</f>
        <v>6901.99399491878</v>
      </c>
    </row>
    <row r="9" customFormat="false" ht="15" hidden="false" customHeight="false" outlineLevel="0" collapsed="false">
      <c r="A9" s="0" t="s">
        <v>51</v>
      </c>
      <c r="B9" s="0" t="s">
        <v>26</v>
      </c>
      <c r="C9" s="2" t="n">
        <f aca="false">Poultry!C74</f>
        <v>596280</v>
      </c>
      <c r="D9" s="2" t="n">
        <f aca="false">Poultry!D74</f>
        <v>896500</v>
      </c>
      <c r="E9" s="2" t="n">
        <f aca="false">Poultry!E74</f>
        <v>1268720</v>
      </c>
      <c r="F9" s="2" t="n">
        <f aca="false">D9/Inputs!$D$4</f>
        <v>6901.99399491878</v>
      </c>
    </row>
    <row r="10" customFormat="false" ht="15" hidden="false" customHeight="false" outlineLevel="0" collapsed="false">
      <c r="A10" s="0" t="s">
        <v>52</v>
      </c>
      <c r="B10" s="0" t="s">
        <v>26</v>
      </c>
      <c r="C10" s="2" t="n">
        <f aca="false">Poultry!C104</f>
        <v>596280</v>
      </c>
      <c r="D10" s="2" t="n">
        <f aca="false">Poultry!D104</f>
        <v>896500</v>
      </c>
      <c r="E10" s="2" t="n">
        <f aca="false">Poultry!E104</f>
        <v>1268720</v>
      </c>
      <c r="F10" s="2" t="n">
        <f aca="false">D10/Inputs!$D$4</f>
        <v>6901.99399491878</v>
      </c>
    </row>
    <row r="11" customFormat="false" ht="15" hidden="false" customHeight="false" outlineLevel="0" collapsed="false">
      <c r="A11" s="0" t="s">
        <v>53</v>
      </c>
      <c r="B11" s="0" t="s">
        <v>26</v>
      </c>
      <c r="C11" s="2" t="n">
        <f aca="false">Poultry!C134</f>
        <v>134400</v>
      </c>
      <c r="D11" s="2" t="n">
        <f aca="false">Poultry!D134</f>
        <v>176000</v>
      </c>
      <c r="E11" s="2" t="n">
        <f aca="false">Poultry!E134</f>
        <v>254800</v>
      </c>
      <c r="F11" s="2" t="n">
        <f aca="false">D11/Inputs!$D$4</f>
        <v>1354.99268611902</v>
      </c>
    </row>
    <row r="12" customFormat="false" ht="15" hidden="false" customHeight="false" outlineLevel="0" collapsed="false">
      <c r="A12" s="0" t="s">
        <v>54</v>
      </c>
      <c r="B12" s="0" t="s">
        <v>26</v>
      </c>
      <c r="C12" s="2" t="n">
        <f aca="false">Poultry!C164</f>
        <v>82000</v>
      </c>
      <c r="D12" s="2" t="n">
        <f aca="false">Poultry!D164</f>
        <v>123200</v>
      </c>
      <c r="E12" s="2" t="n">
        <f aca="false">Poultry!E164</f>
        <v>182000</v>
      </c>
      <c r="F12" s="2" t="n">
        <f aca="false">D12/Inputs!$D$4</f>
        <v>948.494880283317</v>
      </c>
    </row>
    <row r="13" customFormat="false" ht="15" hidden="false" customHeight="false" outlineLevel="0" collapsed="false">
      <c r="A13" s="0" t="s">
        <v>55</v>
      </c>
      <c r="B13" s="0" t="s">
        <v>26</v>
      </c>
      <c r="C13" s="2" t="n">
        <f aca="false">Poultry!C194</f>
        <v>67200</v>
      </c>
      <c r="D13" s="2" t="n">
        <f aca="false">Poultry!D194</f>
        <v>89250</v>
      </c>
      <c r="E13" s="2" t="n">
        <f aca="false">Poultry!E194</f>
        <v>113400</v>
      </c>
      <c r="F13" s="2" t="n">
        <f aca="false">D13/Inputs!$D$4</f>
        <v>687.119870659789</v>
      </c>
    </row>
    <row r="14" customFormat="false" ht="15" hidden="false" customHeight="false" outlineLevel="0" collapsed="false">
      <c r="A14" s="0" t="s">
        <v>56</v>
      </c>
      <c r="B14" s="0" t="s">
        <v>26</v>
      </c>
      <c r="C14" s="2" t="n">
        <f aca="false">Poultry!C224</f>
        <v>88800</v>
      </c>
      <c r="D14" s="2" t="n">
        <f aca="false">Poultry!D224</f>
        <v>144000</v>
      </c>
      <c r="E14" s="2" t="n">
        <f aca="false">Poultry!E224</f>
        <v>255000</v>
      </c>
      <c r="F14" s="2" t="n">
        <f aca="false">D14/Inputs!$D$4</f>
        <v>1108.63037955193</v>
      </c>
    </row>
    <row r="15" customFormat="false" ht="15" hidden="false" customHeight="false" outlineLevel="0" collapsed="false">
      <c r="A15" s="1" t="s">
        <v>562</v>
      </c>
      <c r="B15" s="6" t="s">
        <v>26</v>
      </c>
      <c r="C15" s="7" t="n">
        <f aca="false">C4+C5+C6+C7+C8+C9+C10+C11+C12+C13+C14</f>
        <v>3249336</v>
      </c>
      <c r="D15" s="7" t="n">
        <f aca="false">D4+D5+D6+D7+D8+D9+D10+D11+D12+D13+D14</f>
        <v>4854130</v>
      </c>
      <c r="E15" s="7" t="n">
        <f aca="false">E4+E5+E6+E7+E8+E9+E10+E11+E12+E13+E14</f>
        <v>6996262.8</v>
      </c>
      <c r="F15" s="2" t="n">
        <f aca="false">D15/Inputs!$D$4</f>
        <v>37371.0832242667</v>
      </c>
    </row>
    <row r="16" customFormat="false" ht="15" hidden="false" customHeight="false" outlineLevel="0" collapsed="false">
      <c r="A16" s="0" t="s">
        <v>788</v>
      </c>
      <c r="B16" s="0" t="s">
        <v>26</v>
      </c>
      <c r="C16" s="2" t="n">
        <f aca="false">Poultry!C251</f>
        <v>1013760</v>
      </c>
      <c r="D16" s="2" t="n">
        <f aca="false">Poultry!D251</f>
        <v>1746000</v>
      </c>
      <c r="E16" s="2" t="n">
        <f aca="false">Poultry!E251</f>
        <v>2527200</v>
      </c>
      <c r="F16" s="2" t="n">
        <f aca="false">D16/Inputs!$D$4</f>
        <v>13442.1433520671</v>
      </c>
    </row>
    <row r="17" customFormat="false" ht="15" hidden="false" customHeight="false" outlineLevel="0" collapsed="false">
      <c r="A17" s="0" t="s">
        <v>789</v>
      </c>
      <c r="B17" s="0" t="s">
        <v>26</v>
      </c>
      <c r="C17" s="2" t="n">
        <f aca="false">Poultry!C253</f>
        <v>2757520</v>
      </c>
      <c r="D17" s="2" t="n">
        <f aca="false">Poultry!D253</f>
        <v>4118450</v>
      </c>
      <c r="E17" s="2" t="n">
        <f aca="false">Poultry!E253</f>
        <v>5880080</v>
      </c>
      <c r="F17" s="2" t="n">
        <f aca="false">D17/Inputs!$D$4</f>
        <v>31707.2137962892</v>
      </c>
    </row>
    <row r="18" customFormat="false" ht="15" hidden="false" customHeight="false" outlineLevel="0" collapsed="false">
      <c r="A18" s="4" t="s">
        <v>45</v>
      </c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0" t="s">
        <v>46</v>
      </c>
      <c r="B19" s="0" t="s">
        <v>26</v>
      </c>
      <c r="C19" s="2" t="n">
        <f aca="false">Cattle!C17</f>
        <v>-63160</v>
      </c>
      <c r="D19" s="2" t="n">
        <f aca="false">Cattle!D17</f>
        <v>107600</v>
      </c>
      <c r="E19" s="2" t="n">
        <f aca="false">Cattle!E17</f>
        <v>329400</v>
      </c>
      <c r="F19" s="2" t="n">
        <f aca="false">D19/Inputs!$D$4</f>
        <v>828.393255831858</v>
      </c>
    </row>
    <row r="20" customFormat="false" ht="15" hidden="false" customHeight="false" outlineLevel="0" collapsed="false">
      <c r="A20" s="0" t="s">
        <v>47</v>
      </c>
      <c r="B20" s="0" t="s">
        <v>26</v>
      </c>
      <c r="C20" s="2" t="n">
        <f aca="false">Sheep!C14</f>
        <v>17179.04</v>
      </c>
      <c r="D20" s="2" t="n">
        <f aca="false">Sheep!D14</f>
        <v>119340.8</v>
      </c>
      <c r="E20" s="2" t="n">
        <f aca="false">Sheep!E14</f>
        <v>255260.48</v>
      </c>
      <c r="F20" s="2" t="n">
        <f aca="false">D20/Inputs!$D$4</f>
        <v>918.783586111325</v>
      </c>
    </row>
    <row r="21" customFormat="false" ht="15" hidden="false" customHeight="false" outlineLevel="0" collapsed="false">
      <c r="A21" s="0" t="s">
        <v>48</v>
      </c>
      <c r="B21" s="0" t="s">
        <v>26</v>
      </c>
      <c r="C21" s="2" t="n">
        <f aca="false">Goats!C14</f>
        <v>17532.8</v>
      </c>
      <c r="D21" s="2" t="n">
        <f aca="false">Goats!D14</f>
        <v>39904</v>
      </c>
      <c r="E21" s="2" t="n">
        <f aca="false">Goats!E14</f>
        <v>69280.336</v>
      </c>
      <c r="F21" s="2" t="n">
        <f aca="false">D21/Inputs!$D$4</f>
        <v>307.213796289168</v>
      </c>
    </row>
    <row r="22" customFormat="false" ht="15" hidden="false" customHeight="false" outlineLevel="0" collapsed="false">
      <c r="A22" s="0" t="s">
        <v>49</v>
      </c>
      <c r="B22" s="0" t="s">
        <v>26</v>
      </c>
      <c r="C22" s="2" t="n">
        <f aca="false">Poultry!C26</f>
        <v>-427996.425396825</v>
      </c>
      <c r="D22" s="2" t="n">
        <f aca="false">Poultry!D26</f>
        <v>86169.5031055901</v>
      </c>
      <c r="E22" s="2" t="n">
        <f aca="false">Poultry!E26</f>
        <v>600246.612765958</v>
      </c>
      <c r="F22" s="2" t="n">
        <f aca="false">D22/Inputs!$D$4</f>
        <v>663.403673151052</v>
      </c>
    </row>
    <row r="23" customFormat="false" ht="15" hidden="false" customHeight="false" outlineLevel="0" collapsed="false">
      <c r="A23" s="0" t="s">
        <v>50</v>
      </c>
      <c r="B23" s="0" t="s">
        <v>26</v>
      </c>
      <c r="C23" s="2" t="n">
        <f aca="false">Poultry!C56</f>
        <v>-427996.425396825</v>
      </c>
      <c r="D23" s="2" t="n">
        <f aca="false">Poultry!D56</f>
        <v>86169.5031055901</v>
      </c>
      <c r="E23" s="2" t="n">
        <f aca="false">Poultry!E56</f>
        <v>600246.612765958</v>
      </c>
      <c r="F23" s="2" t="n">
        <f aca="false">D23/Inputs!$D$4</f>
        <v>663.403673151052</v>
      </c>
    </row>
    <row r="24" customFormat="false" ht="15" hidden="false" customHeight="false" outlineLevel="0" collapsed="false">
      <c r="A24" s="0" t="s">
        <v>51</v>
      </c>
      <c r="B24" s="0" t="s">
        <v>26</v>
      </c>
      <c r="C24" s="2" t="n">
        <f aca="false">Poultry!C86</f>
        <v>-427996.425396825</v>
      </c>
      <c r="D24" s="2" t="n">
        <f aca="false">Poultry!D86</f>
        <v>86169.5031055901</v>
      </c>
      <c r="E24" s="2" t="n">
        <f aca="false">Poultry!E86</f>
        <v>600246.612765958</v>
      </c>
      <c r="F24" s="2" t="n">
        <f aca="false">D24/Inputs!$D$4</f>
        <v>663.403673151052</v>
      </c>
    </row>
    <row r="25" customFormat="false" ht="15" hidden="false" customHeight="false" outlineLevel="0" collapsed="false">
      <c r="A25" s="0" t="s">
        <v>52</v>
      </c>
      <c r="B25" s="0" t="s">
        <v>26</v>
      </c>
      <c r="C25" s="2" t="n">
        <f aca="false">Poultry!C116</f>
        <v>-427996.425396825</v>
      </c>
      <c r="D25" s="2" t="n">
        <f aca="false">Poultry!D116</f>
        <v>86169.5031055901</v>
      </c>
      <c r="E25" s="2" t="n">
        <f aca="false">Poultry!E116</f>
        <v>600246.612765958</v>
      </c>
      <c r="F25" s="2" t="n">
        <f aca="false">D25/Inputs!$D$4</f>
        <v>663.403673151052</v>
      </c>
    </row>
    <row r="26" customFormat="false" ht="15" hidden="false" customHeight="false" outlineLevel="0" collapsed="false">
      <c r="A26" s="0" t="s">
        <v>53</v>
      </c>
      <c r="B26" s="0" t="s">
        <v>26</v>
      </c>
      <c r="C26" s="2" t="n">
        <f aca="false">Poultry!C146</f>
        <v>-26320</v>
      </c>
      <c r="D26" s="2" t="n">
        <f aca="false">Poultry!D146</f>
        <v>45560</v>
      </c>
      <c r="E26" s="2" t="n">
        <f aca="false">Poultry!E146</f>
        <v>147613.142857143</v>
      </c>
      <c r="F26" s="2" t="n">
        <f aca="false">D26/Inputs!$D$4</f>
        <v>350.758333974902</v>
      </c>
    </row>
    <row r="27" customFormat="false" ht="15" hidden="false" customHeight="false" outlineLevel="0" collapsed="false">
      <c r="A27" s="0" t="s">
        <v>54</v>
      </c>
      <c r="B27" s="0" t="s">
        <v>26</v>
      </c>
      <c r="C27" s="2" t="n">
        <f aca="false">Poultry!C176</f>
        <v>11471.4285714286</v>
      </c>
      <c r="D27" s="2" t="n">
        <f aca="false">Poultry!D176</f>
        <v>65622</v>
      </c>
      <c r="E27" s="2" t="n">
        <f aca="false">Poultry!E176</f>
        <v>133068.571428571</v>
      </c>
      <c r="F27" s="2" t="n">
        <f aca="false">D27/Inputs!$D$4</f>
        <v>505.21210254831</v>
      </c>
    </row>
    <row r="28" customFormat="false" ht="15" hidden="false" customHeight="false" outlineLevel="0" collapsed="false">
      <c r="A28" s="0" t="s">
        <v>55</v>
      </c>
      <c r="B28" s="0" t="s">
        <v>26</v>
      </c>
      <c r="C28" s="2" t="n">
        <f aca="false">Poultry!C206</f>
        <v>3454.28571428572</v>
      </c>
      <c r="D28" s="2" t="n">
        <f aca="false">Poultry!D206</f>
        <v>36030</v>
      </c>
      <c r="E28" s="2" t="n">
        <f aca="false">Poultry!E206</f>
        <v>72258</v>
      </c>
      <c r="F28" s="2" t="n">
        <f aca="false">D28/Inputs!$D$4</f>
        <v>277.388559550389</v>
      </c>
    </row>
    <row r="29" customFormat="false" ht="15" hidden="false" customHeight="false" outlineLevel="0" collapsed="false">
      <c r="A29" s="0" t="s">
        <v>56</v>
      </c>
      <c r="B29" s="0" t="s">
        <v>26</v>
      </c>
      <c r="C29" s="2" t="n">
        <f aca="false">Poultry!C236</f>
        <v>-10381.0714285714</v>
      </c>
      <c r="D29" s="2" t="n">
        <f aca="false">Poultry!D236</f>
        <v>60090</v>
      </c>
      <c r="E29" s="2" t="n">
        <f aca="false">Poultry!E236</f>
        <v>183567.857142857</v>
      </c>
      <c r="F29" s="2" t="n">
        <f aca="false">D29/Inputs!$D$4</f>
        <v>462.622218800524</v>
      </c>
    </row>
    <row r="30" customFormat="false" ht="15" hidden="false" customHeight="false" outlineLevel="0" collapsed="false">
      <c r="A30" s="1" t="s">
        <v>790</v>
      </c>
      <c r="B30" s="6" t="s">
        <v>26</v>
      </c>
      <c r="C30" s="7" t="n">
        <f aca="false">C19+C20+C21+C22+C23+C24+C25+C26+C27+C28+C29</f>
        <v>-1762209.21873016</v>
      </c>
      <c r="D30" s="7" t="n">
        <f aca="false">D19+D20+D21+D22+D23+D24+D25+D26+D27+D28+D29</f>
        <v>818824.812422361</v>
      </c>
      <c r="E30" s="7" t="n">
        <f aca="false">E19+E20+E21+E22+E23+E24+E25+E26+E27+E28+E29</f>
        <v>3591434.8384924</v>
      </c>
      <c r="F30" s="2" t="n">
        <f aca="false">D30/Inputs!$D$4</f>
        <v>6303.98654571068</v>
      </c>
    </row>
    <row r="31" customFormat="false" ht="15" hidden="false" customHeight="false" outlineLevel="0" collapsed="false">
      <c r="A31" s="0" t="s">
        <v>569</v>
      </c>
      <c r="B31" s="0" t="s">
        <v>26</v>
      </c>
      <c r="C31" s="2" t="n">
        <f aca="false">Cattle!C16+Sheep!C13+Goats!C13+Poultry!C254</f>
        <v>5011545.21873016</v>
      </c>
      <c r="D31" s="2" t="n">
        <f aca="false">Cattle!D16+Sheep!D13+Goats!D13+Poultry!D254</f>
        <v>4035305.18757764</v>
      </c>
      <c r="E31" s="2" t="n">
        <f aca="false">Cattle!E16+Sheep!E13+Goats!E13+Poultry!E254</f>
        <v>3404827.9615076</v>
      </c>
      <c r="F31" s="2" t="n">
        <f aca="false">D31/Inputs!$D$4</f>
        <v>31067.096678556</v>
      </c>
    </row>
    <row r="32" customFormat="false" ht="15" hidden="false" customHeight="false" outlineLevel="0" collapsed="false">
      <c r="A32" s="4" t="s">
        <v>791</v>
      </c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0" t="s">
        <v>792</v>
      </c>
      <c r="B33" s="0" t="s">
        <v>26</v>
      </c>
      <c r="C33" s="2" t="n">
        <f aca="false">Labour!C19</f>
        <v>911684.375</v>
      </c>
      <c r="D33" s="2" t="n">
        <f aca="false">Labour!D19</f>
        <v>868200</v>
      </c>
      <c r="E33" s="2" t="n">
        <f aca="false">Labour!E19</f>
        <v>865700</v>
      </c>
      <c r="F33" s="2" t="n">
        <f aca="false">D33/Inputs!$D$4</f>
        <v>6684.1173300485</v>
      </c>
    </row>
    <row r="34" customFormat="false" ht="15" hidden="false" customHeight="false" outlineLevel="0" collapsed="false">
      <c r="A34" s="0" t="s">
        <v>793</v>
      </c>
      <c r="B34" s="0" t="s">
        <v>26</v>
      </c>
      <c r="C34" s="2" t="n">
        <f aca="false">Inputs!C263*Inputs!C264</f>
        <v>208000</v>
      </c>
      <c r="D34" s="2" t="n">
        <f aca="false">Inputs!D263*Inputs!D264</f>
        <v>156000</v>
      </c>
      <c r="E34" s="2" t="n">
        <f aca="false">Inputs!E263*Inputs!E264</f>
        <v>104000</v>
      </c>
      <c r="F34" s="2" t="n">
        <f aca="false">D34/Inputs!$D$4</f>
        <v>1201.01624451459</v>
      </c>
    </row>
    <row r="35" customFormat="false" ht="15" hidden="false" customHeight="false" outlineLevel="0" collapsed="false">
      <c r="A35" s="0" t="s">
        <v>794</v>
      </c>
      <c r="B35" s="0" t="s">
        <v>26</v>
      </c>
      <c r="C35" s="2" t="n">
        <f aca="false">Inputs!C266</f>
        <v>70000</v>
      </c>
      <c r="D35" s="2" t="n">
        <f aca="false">Inputs!D266</f>
        <v>60000</v>
      </c>
      <c r="E35" s="2" t="n">
        <f aca="false">Inputs!E266</f>
        <v>50000</v>
      </c>
      <c r="F35" s="2" t="n">
        <f aca="false">D35/Inputs!$D$4</f>
        <v>461.929324813304</v>
      </c>
    </row>
    <row r="36" customFormat="false" ht="15" hidden="false" customHeight="false" outlineLevel="0" collapsed="false">
      <c r="A36" s="0" t="s">
        <v>795</v>
      </c>
      <c r="B36" s="0" t="s">
        <v>26</v>
      </c>
      <c r="C36" s="2" t="n">
        <f aca="false">Inputs!C267</f>
        <v>55000</v>
      </c>
      <c r="D36" s="2" t="n">
        <f aca="false">Inputs!D267</f>
        <v>48000</v>
      </c>
      <c r="E36" s="2" t="n">
        <f aca="false">Inputs!E267</f>
        <v>40000</v>
      </c>
      <c r="F36" s="2" t="n">
        <f aca="false">D36/Inputs!$D$4</f>
        <v>369.543459850643</v>
      </c>
    </row>
    <row r="37" customFormat="false" ht="15" hidden="false" customHeight="false" outlineLevel="0" collapsed="false">
      <c r="A37" s="0" t="s">
        <v>796</v>
      </c>
      <c r="B37" s="0" t="s">
        <v>26</v>
      </c>
      <c r="C37" s="2" t="n">
        <f aca="false">Inputs!C268</f>
        <v>10000</v>
      </c>
      <c r="D37" s="2" t="n">
        <f aca="false">Inputs!D268</f>
        <v>10000</v>
      </c>
      <c r="E37" s="2" t="n">
        <f aca="false">Inputs!E268</f>
        <v>10000</v>
      </c>
      <c r="F37" s="2" t="n">
        <f aca="false">D37/Inputs!$D$4</f>
        <v>76.9882208022173</v>
      </c>
    </row>
    <row r="38" customFormat="false" ht="15" hidden="false" customHeight="false" outlineLevel="0" collapsed="false">
      <c r="A38" s="0" t="s">
        <v>797</v>
      </c>
      <c r="B38" s="0" t="s">
        <v>26</v>
      </c>
      <c r="C38" s="2" t="n">
        <f aca="false">Inputs!C16</f>
        <v>0</v>
      </c>
      <c r="D38" s="2" t="n">
        <f aca="false">Inputs!D16</f>
        <v>0</v>
      </c>
      <c r="E38" s="2" t="n">
        <f aca="false">Inputs!E16</f>
        <v>0</v>
      </c>
      <c r="F38" s="2" t="n">
        <f aca="false">D38/Inputs!$D$4</f>
        <v>0</v>
      </c>
    </row>
    <row r="39" customFormat="false" ht="15" hidden="false" customHeight="false" outlineLevel="0" collapsed="false">
      <c r="A39" s="0" t="s">
        <v>798</v>
      </c>
      <c r="B39" s="0" t="s">
        <v>26</v>
      </c>
      <c r="C39" s="2" t="n">
        <f aca="false">Inputs!C13*Inputs!C15</f>
        <v>80000</v>
      </c>
      <c r="D39" s="2" t="n">
        <f aca="false">Inputs!D13*Inputs!D15</f>
        <v>60000</v>
      </c>
      <c r="E39" s="2" t="n">
        <f aca="false">Inputs!E13*Inputs!E15</f>
        <v>40000</v>
      </c>
      <c r="F39" s="2" t="n">
        <f aca="false">D39/Inputs!$D$4</f>
        <v>461.929324813304</v>
      </c>
    </row>
    <row r="40" customFormat="false" ht="15" hidden="false" customHeight="false" outlineLevel="0" collapsed="false">
      <c r="A40" s="0" t="s">
        <v>799</v>
      </c>
      <c r="B40" s="0" t="s">
        <v>26</v>
      </c>
      <c r="C40" s="2" t="n">
        <f aca="false">Inputs!C13/Inputs!C14</f>
        <v>200000</v>
      </c>
      <c r="D40" s="2" t="n">
        <f aca="false">Inputs!D13/Inputs!D14</f>
        <v>200000</v>
      </c>
      <c r="E40" s="2" t="n">
        <f aca="false">Inputs!E13/Inputs!E14</f>
        <v>200000</v>
      </c>
      <c r="F40" s="2" t="n">
        <f aca="false">D40/Inputs!$D$4</f>
        <v>1539.76441604435</v>
      </c>
    </row>
    <row r="41" customFormat="false" ht="15" hidden="false" customHeight="false" outlineLevel="0" collapsed="false">
      <c r="A41" s="0" t="s">
        <v>800</v>
      </c>
      <c r="B41" s="0" t="s">
        <v>26</v>
      </c>
      <c r="C41" s="2" t="n">
        <f aca="false">Cattle!C19+Sheep!C16+Goats!C16+Poultry!C261</f>
        <v>2195000</v>
      </c>
      <c r="D41" s="2" t="n">
        <f aca="false">Cattle!D19+Sheep!D16+Goats!D16+Poultry!D261</f>
        <v>2195000</v>
      </c>
      <c r="E41" s="2" t="n">
        <f aca="false">Cattle!E19+Sheep!E16+Goats!E16+Poultry!E261</f>
        <v>2195000</v>
      </c>
      <c r="F41" s="2" t="n">
        <f aca="false">D41/Inputs!$D$4</f>
        <v>16898.9144660867</v>
      </c>
    </row>
    <row r="42" customFormat="false" ht="15" hidden="false" customHeight="false" outlineLevel="0" collapsed="false">
      <c r="A42" s="0" t="s">
        <v>801</v>
      </c>
      <c r="B42" s="0" t="s">
        <v>26</v>
      </c>
      <c r="C42" s="2" t="n">
        <f aca="false">C41*Inputs!C269</f>
        <v>0</v>
      </c>
      <c r="D42" s="2" t="n">
        <f aca="false">D41*Inputs!D269</f>
        <v>0</v>
      </c>
      <c r="E42" s="2" t="n">
        <f aca="false">E41*Inputs!E269</f>
        <v>0</v>
      </c>
      <c r="F42" s="2" t="n">
        <f aca="false">D42/Inputs!$D$4</f>
        <v>0</v>
      </c>
    </row>
    <row r="43" customFormat="false" ht="15" hidden="false" customHeight="false" outlineLevel="0" collapsed="false">
      <c r="A43" s="0" t="s">
        <v>802</v>
      </c>
      <c r="B43" s="0" t="s">
        <v>26</v>
      </c>
      <c r="C43" s="2" t="n">
        <f aca="false">Lorry!C24</f>
        <v>1384475</v>
      </c>
      <c r="D43" s="2" t="n">
        <f aca="false">Lorry!D24</f>
        <v>949433.333333333</v>
      </c>
      <c r="E43" s="2" t="n">
        <f aca="false">Lorry!E24</f>
        <v>691622.727272727</v>
      </c>
      <c r="F43" s="2" t="n">
        <f aca="false">D43/Inputs!$D$4</f>
        <v>7309.51831036518</v>
      </c>
    </row>
    <row r="44" customFormat="false" ht="15" hidden="false" customHeight="false" outlineLevel="0" collapsed="false">
      <c r="A44" s="1" t="s">
        <v>803</v>
      </c>
      <c r="B44" s="6" t="s">
        <v>26</v>
      </c>
      <c r="C44" s="7" t="n">
        <f aca="false">C33+C34+C35+C36+C37+C38+C39+C40+C42+C43</f>
        <v>2919159.375</v>
      </c>
      <c r="D44" s="7" t="n">
        <f aca="false">D33+D34+D35+D36+D37+D38+D39+D40+D42+D43</f>
        <v>2351633.33333333</v>
      </c>
      <c r="E44" s="7" t="n">
        <f aca="false">E33+E34+E35+E36+E37+E38+E39+E40+E42+E43</f>
        <v>2001322.72727273</v>
      </c>
      <c r="F44" s="2" t="n">
        <f aca="false">D44/Inputs!$D$4</f>
        <v>18104.8066312521</v>
      </c>
    </row>
    <row r="45" customFormat="false" ht="15" hidden="false" customHeight="false" outlineLevel="0" collapsed="false">
      <c r="A45" s="4" t="s">
        <v>804</v>
      </c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1" t="s">
        <v>805</v>
      </c>
      <c r="B46" s="6" t="s">
        <v>26</v>
      </c>
      <c r="C46" s="7" t="n">
        <f aca="false">C30-C44</f>
        <v>-4681368.59373016</v>
      </c>
      <c r="D46" s="7" t="n">
        <f aca="false">D30-D44</f>
        <v>-1532808.52091097</v>
      </c>
      <c r="E46" s="7" t="n">
        <f aca="false">E30-E44</f>
        <v>1590112.11121967</v>
      </c>
      <c r="F46" s="2" t="n">
        <f aca="false">D46/Inputs!$D$4</f>
        <v>-11800.8200855414</v>
      </c>
      <c r="G46" s="6" t="s">
        <v>806</v>
      </c>
    </row>
    <row r="47" customFormat="false" ht="15" hidden="false" customHeight="false" outlineLevel="0" collapsed="false">
      <c r="A47" s="0" t="s">
        <v>807</v>
      </c>
      <c r="B47" s="0" t="s">
        <v>35</v>
      </c>
      <c r="C47" s="8" t="n">
        <f aca="false">IF(C15=0,0,C46/C15)</f>
        <v>-1.44071545501301</v>
      </c>
      <c r="D47" s="8" t="n">
        <f aca="false">IF(D15=0,0,D46/D15)</f>
        <v>-0.31577409770875</v>
      </c>
      <c r="E47" s="8" t="n">
        <f aca="false">IF(E15=0,0,E46/E15)</f>
        <v>0.227280214691145</v>
      </c>
    </row>
    <row r="48" customFormat="false" ht="15" hidden="false" customHeight="false" outlineLevel="0" collapsed="false">
      <c r="A48" s="1" t="s">
        <v>808</v>
      </c>
      <c r="B48" s="6" t="s">
        <v>26</v>
      </c>
      <c r="C48" s="7" t="n">
        <f aca="false">C46+C43</f>
        <v>-3296893.59373016</v>
      </c>
      <c r="D48" s="7" t="n">
        <f aca="false">D46+D43</f>
        <v>-583375.18757764</v>
      </c>
      <c r="E48" s="7" t="n">
        <f aca="false">E46+E43</f>
        <v>2281734.8384924</v>
      </c>
      <c r="F48" s="2" t="n">
        <f aca="false">D48/Inputs!$D$4</f>
        <v>-4491.30177517622</v>
      </c>
    </row>
    <row r="49" customFormat="false" ht="15" hidden="false" customHeight="false" outlineLevel="0" collapsed="false">
      <c r="A49" s="0" t="s">
        <v>809</v>
      </c>
      <c r="B49" s="0" t="s">
        <v>26</v>
      </c>
      <c r="C49" s="2" t="n">
        <f aca="false">C46+C40+Lorry!C5</f>
        <v>-4059493.59373016</v>
      </c>
      <c r="D49" s="2" t="n">
        <f aca="false">D46+D40+Lorry!D5</f>
        <v>-995308.520910973</v>
      </c>
      <c r="E49" s="2" t="n">
        <f aca="false">E46+E40+Lorry!E5</f>
        <v>2071362.11121967</v>
      </c>
      <c r="F49" s="2" t="n">
        <f aca="false">D49/Inputs!$D$4</f>
        <v>-7662.70321742223</v>
      </c>
    </row>
    <row r="50" customFormat="false" ht="15" hidden="false" customHeight="false" outlineLevel="0" collapsed="false">
      <c r="A50" s="0" t="s">
        <v>810</v>
      </c>
      <c r="B50" s="0" t="s">
        <v>811</v>
      </c>
      <c r="C50" s="10" t="n">
        <f aca="false">1-C31/C15</f>
        <v>-0.54232902313893</v>
      </c>
      <c r="D50" s="10" t="n">
        <f aca="false">1-D31/D15</f>
        <v>0.168686214094464</v>
      </c>
      <c r="E50" s="10" t="n">
        <f aca="false">1-E31/E15</f>
        <v>0.513336182639166</v>
      </c>
    </row>
    <row r="51" customFormat="false" ht="15" hidden="false" customHeight="false" outlineLevel="0" collapsed="false">
      <c r="A51" s="4" t="s">
        <v>812</v>
      </c>
      <c r="B51" s="5"/>
      <c r="C51" s="5"/>
      <c r="D51" s="5"/>
      <c r="E51" s="5"/>
      <c r="F51" s="5"/>
      <c r="G51" s="5"/>
    </row>
    <row r="52" customFormat="false" ht="15" hidden="false" customHeight="false" outlineLevel="0" collapsed="false">
      <c r="A52" s="0" t="s">
        <v>46</v>
      </c>
      <c r="B52" s="0" t="s">
        <v>58</v>
      </c>
      <c r="C52" s="2" t="n">
        <f aca="false">C19/(Inputs!C258*365)</f>
        <v>-43.2602739726027</v>
      </c>
      <c r="D52" s="2" t="n">
        <f aca="false">D19/(Inputs!D258*365)</f>
        <v>84.2270058708415</v>
      </c>
      <c r="E52" s="2" t="n">
        <f aca="false">E19/(Inputs!E258*365)</f>
        <v>282.020547945205</v>
      </c>
    </row>
    <row r="53" customFormat="false" ht="15" hidden="false" customHeight="false" outlineLevel="0" collapsed="false">
      <c r="A53" s="0" t="s">
        <v>47</v>
      </c>
      <c r="B53" s="0" t="s">
        <v>58</v>
      </c>
      <c r="C53" s="2" t="n">
        <f aca="false">C20/(Inputs!C259*365)</f>
        <v>26.1477016742771</v>
      </c>
      <c r="D53" s="2" t="n">
        <f aca="false">D20/(Inputs!D259*365)</f>
        <v>217.974063926941</v>
      </c>
      <c r="E53" s="2" t="n">
        <f aca="false">E20/(Inputs!E259*365)</f>
        <v>537.956754478398</v>
      </c>
    </row>
    <row r="54" customFormat="false" ht="15" hidden="false" customHeight="false" outlineLevel="0" collapsed="false">
      <c r="A54" s="0" t="s">
        <v>48</v>
      </c>
      <c r="B54" s="0" t="s">
        <v>58</v>
      </c>
      <c r="C54" s="2" t="n">
        <f aca="false">C21/(Inputs!C260*365)</f>
        <v>80.0584474885845</v>
      </c>
      <c r="D54" s="2" t="n">
        <f aca="false">D21/(Inputs!D260*365)</f>
        <v>218.652054794521</v>
      </c>
      <c r="E54" s="2" t="n">
        <f aca="false">E21/(Inputs!E260*365)</f>
        <v>421.798088280061</v>
      </c>
    </row>
    <row r="55" customFormat="false" ht="15" hidden="false" customHeight="false" outlineLevel="0" collapsed="false">
      <c r="A55" s="0" t="s">
        <v>59</v>
      </c>
      <c r="B55" s="0" t="s">
        <v>58</v>
      </c>
      <c r="C55" s="2" t="n">
        <f aca="false">Poultry!C256/(Poultry!C245/100*Inputs!C261*365)</f>
        <v>-469.037178517069</v>
      </c>
      <c r="D55" s="2" t="n">
        <f aca="false">Poultry!D256/(Poultry!D245/100*Inputs!D261*365)</f>
        <v>118.040415213137</v>
      </c>
      <c r="E55" s="2" t="n">
        <f aca="false">Poultry!E256/(Poultry!E245/100*Inputs!E261*365)</f>
        <v>996.673495667841</v>
      </c>
    </row>
    <row r="56" customFormat="false" ht="15" hidden="false" customHeight="false" outlineLevel="0" collapsed="false">
      <c r="A56" s="0" t="s">
        <v>60</v>
      </c>
      <c r="B56" s="0" t="s">
        <v>58</v>
      </c>
      <c r="C56" s="2" t="n">
        <f aca="false">Poultry!C257/((Poultry!C244-Poultry!C245)/100*Inputs!C261*365)</f>
        <v>-44.1914909038196</v>
      </c>
      <c r="D56" s="2" t="n">
        <f aca="false">Poultry!D257/((Poultry!D244-Poultry!D245)/100*Inputs!D261*365)</f>
        <v>525.880263825469</v>
      </c>
      <c r="E56" s="2" t="n">
        <f aca="false">Poultry!E257/((Poultry!E244-Poultry!E245)/100*Inputs!E261*365)</f>
        <v>1649.70118668749</v>
      </c>
    </row>
    <row r="57" customFormat="false" ht="15" hidden="false" customHeight="false" outlineLevel="0" collapsed="false">
      <c r="A57" s="4" t="s">
        <v>813</v>
      </c>
      <c r="B57" s="5"/>
      <c r="C57" s="5"/>
      <c r="D57" s="5"/>
      <c r="E57" s="5"/>
      <c r="F57" s="5"/>
      <c r="G57" s="5"/>
    </row>
    <row r="58" customFormat="false" ht="15" hidden="false" customHeight="false" outlineLevel="0" collapsed="false">
      <c r="A58" s="0" t="s">
        <v>814</v>
      </c>
      <c r="B58" s="0" t="s">
        <v>815</v>
      </c>
      <c r="C58" s="10" t="n">
        <f aca="false">Inputs!C20*Inputs!C23+(Inputs!C21+Inputs!C22)*Inputs!C24+Poultry!C244*Inputs!C25</f>
        <v>35.7</v>
      </c>
      <c r="D58" s="10" t="n">
        <f aca="false">Inputs!D20*Inputs!D23+(Inputs!D21+Inputs!D22)*Inputs!D24+Poultry!D244*Inputs!D25</f>
        <v>35.7</v>
      </c>
      <c r="E58" s="10" t="n">
        <f aca="false">Inputs!E20*Inputs!E23+(Inputs!E21+Inputs!E22)*Inputs!E24+Poultry!E244*Inputs!E25</f>
        <v>35.7</v>
      </c>
    </row>
    <row r="59" customFormat="false" ht="15" hidden="false" customHeight="false" outlineLevel="0" collapsed="false">
      <c r="A59" s="0" t="s">
        <v>816</v>
      </c>
      <c r="B59" s="0" t="s">
        <v>26</v>
      </c>
      <c r="C59" s="2" t="n">
        <f aca="false">Cattle!C20+Sheep!C17+Goats!C17+Poultry!C258</f>
        <v>3685178.21428571</v>
      </c>
      <c r="D59" s="2" t="n">
        <f aca="false">Cattle!D20+Sheep!D17+Goats!D17+Poultry!D258</f>
        <v>2820650.68322981</v>
      </c>
      <c r="E59" s="2" t="n">
        <f aca="false">Cattle!E20+Sheep!E17+Goats!E17+Poultry!E258</f>
        <v>2255203.66261398</v>
      </c>
      <c r="F59" s="2" t="n">
        <f aca="false">D59/Inputs!$D$4</f>
        <v>21715.6877606422</v>
      </c>
    </row>
    <row r="60" customFormat="false" ht="15" hidden="false" customHeight="false" outlineLevel="0" collapsed="false">
      <c r="A60" s="0" t="s">
        <v>817</v>
      </c>
      <c r="B60" s="0" t="s">
        <v>35</v>
      </c>
      <c r="C60" s="8" t="n">
        <f aca="false">C59/C15</f>
        <v>1.13413270104591</v>
      </c>
      <c r="D60" s="8" t="n">
        <f aca="false">D59/D15</f>
        <v>0.581082641632963</v>
      </c>
      <c r="E60" s="8" t="n">
        <f aca="false">E59/E15</f>
        <v>0.322344046683607</v>
      </c>
    </row>
    <row r="61" customFormat="false" ht="15" hidden="false" customHeight="false" outlineLevel="0" collapsed="false">
      <c r="A61" s="0" t="s">
        <v>818</v>
      </c>
      <c r="B61" s="0" t="s">
        <v>26</v>
      </c>
      <c r="C61" s="2" t="n">
        <f aca="false">Cattle!C21+Sheep!C18+Goats!C18+Poultry!C260</f>
        <v>425066.666666667</v>
      </c>
      <c r="D61" s="2" t="n">
        <f aca="false">Cattle!D21+Sheep!D18+Goats!D18+Poultry!D260</f>
        <v>333660.869565217</v>
      </c>
      <c r="E61" s="2" t="n">
        <f aca="false">Cattle!E21+Sheep!E18+Goats!E18+Poultry!E260</f>
        <v>278657.446808511</v>
      </c>
      <c r="F61" s="2" t="n">
        <f aca="false">D61/Inputs!$D$4</f>
        <v>2568.79566991468</v>
      </c>
    </row>
    <row r="62" customFormat="false" ht="15" hidden="false" customHeight="false" outlineLevel="0" collapsed="false">
      <c r="A62" s="0" t="s">
        <v>819</v>
      </c>
      <c r="B62" s="0" t="s">
        <v>26</v>
      </c>
      <c r="C62" s="2" t="n">
        <f aca="false">Capital!C13+Inputs!C270/12*(C33+C34+C35+C36+C37+Lorry!C25)</f>
        <v>2424669.83630952</v>
      </c>
      <c r="D62" s="2" t="n">
        <f aca="false">Capital!D13+Inputs!D270/12*(D33+D34+D35+D36+D37+Lorry!D25)</f>
        <v>1869511.33195307</v>
      </c>
      <c r="E62" s="2" t="n">
        <f aca="false">Capital!E13+Inputs!E270/12*(E33+E34+E35+E36+E37+Lorry!E25)</f>
        <v>1513609.34259003</v>
      </c>
      <c r="F62" s="2" t="n">
        <f aca="false">D62/Inputs!$D$4</f>
        <v>14393.035121665</v>
      </c>
    </row>
    <row r="63" customFormat="false" ht="15" hidden="false" customHeight="false" outlineLevel="0" collapsed="false">
      <c r="A63" s="0" t="s">
        <v>820</v>
      </c>
      <c r="B63" s="0" t="s">
        <v>26</v>
      </c>
      <c r="C63" s="2" t="n">
        <f aca="false">C41+Inputs!C13+Inputs!C273+C62</f>
        <v>11119669.8363095</v>
      </c>
      <c r="D63" s="2" t="n">
        <f aca="false">D41+Inputs!D13+Inputs!D273+D62</f>
        <v>10564511.3319531</v>
      </c>
      <c r="E63" s="2" t="n">
        <f aca="false">E41+Inputs!E13+Inputs!E273+E62</f>
        <v>10208609.34259</v>
      </c>
      <c r="F63" s="2" t="n">
        <f aca="false">D63/Inputs!$D$4</f>
        <v>81334.293109193</v>
      </c>
    </row>
    <row r="64" customFormat="false" ht="15" hidden="false" customHeight="false" outlineLevel="0" collapsed="false">
      <c r="A64" s="0" t="s">
        <v>821</v>
      </c>
      <c r="B64" s="0" t="s">
        <v>26</v>
      </c>
      <c r="C64" s="2" t="n">
        <f aca="false">C63-Inputs!C273</f>
        <v>6619669.83630952</v>
      </c>
      <c r="D64" s="2" t="n">
        <f aca="false">D63-Inputs!D273</f>
        <v>6064511.33195307</v>
      </c>
      <c r="E64" s="2" t="n">
        <f aca="false">E63-Inputs!E273</f>
        <v>5708609.34259003</v>
      </c>
      <c r="F64" s="2" t="n">
        <f aca="false">D64/Inputs!$D$4</f>
        <v>46689.5937481952</v>
      </c>
    </row>
    <row r="65" customFormat="false" ht="15" hidden="false" customHeight="false" outlineLevel="0" collapsed="false">
      <c r="A65" s="0" t="s">
        <v>822</v>
      </c>
      <c r="B65" s="0" t="s">
        <v>26</v>
      </c>
      <c r="C65" s="2" t="n">
        <f aca="false">Capital!C4</f>
        <v>8050000</v>
      </c>
      <c r="D65" s="2" t="n">
        <f aca="false">Capital!D4</f>
        <v>11500000</v>
      </c>
      <c r="E65" s="2" t="n">
        <f aca="false">Capital!E4</f>
        <v>16100000</v>
      </c>
      <c r="F65" s="2" t="n">
        <f aca="false">D65/Inputs!$D$4</f>
        <v>88536.4539225499</v>
      </c>
    </row>
    <row r="66" customFormat="false" ht="15" hidden="false" customHeight="false" outlineLevel="0" collapsed="false">
      <c r="A66" s="0" t="s">
        <v>823</v>
      </c>
      <c r="B66" s="0" t="s">
        <v>26</v>
      </c>
      <c r="C66" s="2" t="n">
        <f aca="false">C65+Inputs!C13+C41+Inputs!C273</f>
        <v>16745000</v>
      </c>
      <c r="D66" s="2" t="n">
        <f aca="false">D65+Inputs!D13+D41+Inputs!D273</f>
        <v>20195000</v>
      </c>
      <c r="E66" s="2" t="n">
        <f aca="false">E65+Inputs!E13+E41+Inputs!E273</f>
        <v>24795000</v>
      </c>
      <c r="F66" s="2" t="n">
        <f aca="false">D66/Inputs!$D$4</f>
        <v>155477.711910078</v>
      </c>
    </row>
    <row r="67" customFormat="false" ht="15" hidden="false" customHeight="false" outlineLevel="0" collapsed="false">
      <c r="A67" s="0" t="s">
        <v>824</v>
      </c>
      <c r="B67" s="0" t="s">
        <v>825</v>
      </c>
      <c r="C67" s="2" t="n">
        <f aca="false">C15/Inputs!C4</f>
        <v>25016.0597428593</v>
      </c>
      <c r="D67" s="2" t="n">
        <f aca="false">D15/Inputs!D4</f>
        <v>37371.0832242667</v>
      </c>
      <c r="E67" s="2" t="n">
        <f aca="false">E15/Inputs!E4</f>
        <v>53862.9825236739</v>
      </c>
    </row>
    <row r="68" customFormat="false" ht="15" hidden="false" customHeight="false" outlineLevel="0" collapsed="false">
      <c r="A68" s="0" t="s">
        <v>826</v>
      </c>
      <c r="B68" s="0" t="s">
        <v>138</v>
      </c>
      <c r="C68" s="2" t="n">
        <f aca="false">C15/Inputs!C11</f>
        <v>141275.47826087</v>
      </c>
      <c r="D68" s="2" t="n">
        <f aca="false">D15/Inputs!D11</f>
        <v>211049.130434783</v>
      </c>
      <c r="E68" s="2" t="n">
        <f aca="false">E15/Inputs!E11</f>
        <v>304185.339130435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"/>
    <col collapsed="false" customWidth="true" hidden="false" outlineLevel="0" max="21" min="3" style="0" width="12"/>
  </cols>
  <sheetData>
    <row r="1" customFormat="false" ht="15" hidden="false" customHeight="false" outlineLevel="0" collapsed="false">
      <c r="A1" s="1" t="s">
        <v>827</v>
      </c>
    </row>
    <row r="2" customFormat="false" ht="15" hidden="false" customHeight="false" outlineLevel="0" collapsed="false">
      <c r="A2" s="19" t="s">
        <v>17</v>
      </c>
      <c r="B2" s="19" t="s">
        <v>18</v>
      </c>
      <c r="C2" s="19" t="s">
        <v>828</v>
      </c>
      <c r="D2" s="19" t="s">
        <v>829</v>
      </c>
      <c r="E2" s="19" t="s">
        <v>830</v>
      </c>
      <c r="F2" s="19" t="s">
        <v>831</v>
      </c>
      <c r="G2" s="19" t="s">
        <v>832</v>
      </c>
      <c r="H2" s="19" t="s">
        <v>833</v>
      </c>
      <c r="I2" s="19" t="s">
        <v>834</v>
      </c>
      <c r="J2" s="19" t="s">
        <v>835</v>
      </c>
      <c r="K2" s="19" t="s">
        <v>836</v>
      </c>
      <c r="L2" s="19" t="s">
        <v>837</v>
      </c>
      <c r="M2" s="19" t="s">
        <v>838</v>
      </c>
      <c r="N2" s="19" t="s">
        <v>839</v>
      </c>
      <c r="O2" s="19" t="s">
        <v>840</v>
      </c>
      <c r="P2" s="19" t="s">
        <v>841</v>
      </c>
      <c r="Q2" s="19" t="s">
        <v>842</v>
      </c>
      <c r="R2" s="19" t="s">
        <v>843</v>
      </c>
      <c r="S2" s="19" t="s">
        <v>844</v>
      </c>
      <c r="T2" s="19" t="s">
        <v>845</v>
      </c>
      <c r="U2" s="1" t="s">
        <v>846</v>
      </c>
    </row>
    <row r="3" customFormat="false" ht="15" hidden="false" customHeight="false" outlineLevel="0" collapsed="false">
      <c r="A3" s="4" t="s">
        <v>847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customFormat="false" ht="15" hidden="false" customHeight="false" outlineLevel="0" collapsed="false">
      <c r="A4" s="20" t="s">
        <v>848</v>
      </c>
      <c r="B4" s="6" t="s">
        <v>26</v>
      </c>
      <c r="C4" s="2" t="n">
        <f aca="false">Farm_PnL!C15/12</f>
        <v>270778</v>
      </c>
      <c r="D4" s="2" t="n">
        <f aca="false">Farm_PnL!C15/12</f>
        <v>270778</v>
      </c>
      <c r="E4" s="2" t="n">
        <f aca="false">Farm_PnL!C15/12</f>
        <v>270778</v>
      </c>
      <c r="F4" s="2" t="n">
        <f aca="false">Farm_PnL!C15/12</f>
        <v>270778</v>
      </c>
      <c r="G4" s="2" t="n">
        <f aca="false">Farm_PnL!C15/12</f>
        <v>270778</v>
      </c>
      <c r="H4" s="2" t="n">
        <f aca="false">Farm_PnL!C15/12</f>
        <v>270778</v>
      </c>
      <c r="I4" s="2" t="n">
        <f aca="false">Farm_PnL!C15/12</f>
        <v>270778</v>
      </c>
      <c r="J4" s="2" t="n">
        <f aca="false">Farm_PnL!C15/12</f>
        <v>270778</v>
      </c>
      <c r="K4" s="2" t="n">
        <f aca="false">Farm_PnL!C15/12</f>
        <v>270778</v>
      </c>
      <c r="L4" s="2" t="n">
        <f aca="false">Farm_PnL!C15/12</f>
        <v>270778</v>
      </c>
      <c r="M4" s="2" t="n">
        <f aca="false">Farm_PnL!C15/12</f>
        <v>270778</v>
      </c>
      <c r="N4" s="2" t="n">
        <f aca="false">Farm_PnL!C15/12</f>
        <v>270778</v>
      </c>
      <c r="O4" s="2" t="n">
        <f aca="false">Farm_PnL!C15/12</f>
        <v>270778</v>
      </c>
      <c r="P4" s="2" t="n">
        <f aca="false">Farm_PnL!C15/12</f>
        <v>270778</v>
      </c>
      <c r="Q4" s="2" t="n">
        <f aca="false">Farm_PnL!C15/12</f>
        <v>270778</v>
      </c>
      <c r="R4" s="2" t="n">
        <f aca="false">Farm_PnL!C15/12</f>
        <v>270778</v>
      </c>
      <c r="S4" s="2" t="n">
        <f aca="false">Farm_PnL!C15/12</f>
        <v>270778</v>
      </c>
      <c r="T4" s="2" t="n">
        <f aca="false">Farm_PnL!C15/12</f>
        <v>270778</v>
      </c>
      <c r="U4" s="2" t="n">
        <f aca="false">SUM(C4:T4)</f>
        <v>4874004</v>
      </c>
    </row>
    <row r="5" customFormat="false" ht="15" hidden="false" customHeight="false" outlineLevel="0" collapsed="false">
      <c r="A5" s="20" t="s">
        <v>849</v>
      </c>
      <c r="B5" s="6" t="s">
        <v>26</v>
      </c>
      <c r="C5" s="2" t="n">
        <f aca="false">-Farm_PnL!C33/12</f>
        <v>-75973.6979166667</v>
      </c>
      <c r="D5" s="2" t="n">
        <f aca="false">-Farm_PnL!C33/12</f>
        <v>-75973.6979166667</v>
      </c>
      <c r="E5" s="2" t="n">
        <f aca="false">-Farm_PnL!C33/12</f>
        <v>-75973.6979166667</v>
      </c>
      <c r="F5" s="2" t="n">
        <f aca="false">-Farm_PnL!C33/12</f>
        <v>-75973.6979166667</v>
      </c>
      <c r="G5" s="2" t="n">
        <f aca="false">-Farm_PnL!C33/12</f>
        <v>-75973.6979166667</v>
      </c>
      <c r="H5" s="2" t="n">
        <f aca="false">-Farm_PnL!C33/12</f>
        <v>-75973.6979166667</v>
      </c>
      <c r="I5" s="2" t="n">
        <f aca="false">-Farm_PnL!C33/12</f>
        <v>-75973.6979166667</v>
      </c>
      <c r="J5" s="2" t="n">
        <f aca="false">-Farm_PnL!C33/12</f>
        <v>-75973.6979166667</v>
      </c>
      <c r="K5" s="2" t="n">
        <f aca="false">-Farm_PnL!C33/12</f>
        <v>-75973.6979166667</v>
      </c>
      <c r="L5" s="2" t="n">
        <f aca="false">-Farm_PnL!C33/12</f>
        <v>-75973.6979166667</v>
      </c>
      <c r="M5" s="2" t="n">
        <f aca="false">-Farm_PnL!C33/12</f>
        <v>-75973.6979166667</v>
      </c>
      <c r="N5" s="2" t="n">
        <f aca="false">-Farm_PnL!C33/12</f>
        <v>-75973.6979166667</v>
      </c>
      <c r="O5" s="2" t="n">
        <f aca="false">-Farm_PnL!C33/12</f>
        <v>-75973.6979166667</v>
      </c>
      <c r="P5" s="2" t="n">
        <f aca="false">-Farm_PnL!C33/12</f>
        <v>-75973.6979166667</v>
      </c>
      <c r="Q5" s="2" t="n">
        <f aca="false">-Farm_PnL!C33/12</f>
        <v>-75973.6979166667</v>
      </c>
      <c r="R5" s="2" t="n">
        <f aca="false">-Farm_PnL!C33/12</f>
        <v>-75973.6979166667</v>
      </c>
      <c r="S5" s="2" t="n">
        <f aca="false">-Farm_PnL!C33/12</f>
        <v>-75973.6979166667</v>
      </c>
      <c r="T5" s="2" t="n">
        <f aca="false">-Farm_PnL!C33/12</f>
        <v>-75973.6979166667</v>
      </c>
      <c r="U5" s="2" t="n">
        <f aca="false">SUM(C5:T5)</f>
        <v>-1367526.5625</v>
      </c>
    </row>
    <row r="6" customFormat="false" ht="15" hidden="false" customHeight="false" outlineLevel="0" collapsed="false">
      <c r="A6" s="20" t="s">
        <v>30</v>
      </c>
      <c r="B6" s="6" t="s">
        <v>26</v>
      </c>
      <c r="C6" s="2" t="n">
        <f aca="false">-Farm_PnL!C34/12</f>
        <v>-17333.3333333333</v>
      </c>
      <c r="D6" s="2" t="n">
        <f aca="false">-Farm_PnL!C34/12</f>
        <v>-17333.3333333333</v>
      </c>
      <c r="E6" s="2" t="n">
        <f aca="false">-Farm_PnL!C34/12</f>
        <v>-17333.3333333333</v>
      </c>
      <c r="F6" s="2" t="n">
        <f aca="false">-Farm_PnL!C34/12</f>
        <v>-17333.3333333333</v>
      </c>
      <c r="G6" s="2" t="n">
        <f aca="false">-Farm_PnL!C34/12</f>
        <v>-17333.3333333333</v>
      </c>
      <c r="H6" s="2" t="n">
        <f aca="false">-Farm_PnL!C34/12</f>
        <v>-17333.3333333333</v>
      </c>
      <c r="I6" s="2" t="n">
        <f aca="false">-Farm_PnL!C34/12</f>
        <v>-17333.3333333333</v>
      </c>
      <c r="J6" s="2" t="n">
        <f aca="false">-Farm_PnL!C34/12</f>
        <v>-17333.3333333333</v>
      </c>
      <c r="K6" s="2" t="n">
        <f aca="false">-Farm_PnL!C34/12</f>
        <v>-17333.3333333333</v>
      </c>
      <c r="L6" s="2" t="n">
        <f aca="false">-Farm_PnL!C34/12</f>
        <v>-17333.3333333333</v>
      </c>
      <c r="M6" s="2" t="n">
        <f aca="false">-Farm_PnL!C34/12</f>
        <v>-17333.3333333333</v>
      </c>
      <c r="N6" s="2" t="n">
        <f aca="false">-Farm_PnL!C34/12</f>
        <v>-17333.3333333333</v>
      </c>
      <c r="O6" s="2" t="n">
        <f aca="false">-Farm_PnL!C34/12</f>
        <v>-17333.3333333333</v>
      </c>
      <c r="P6" s="2" t="n">
        <f aca="false">-Farm_PnL!C34/12</f>
        <v>-17333.3333333333</v>
      </c>
      <c r="Q6" s="2" t="n">
        <f aca="false">-Farm_PnL!C34/12</f>
        <v>-17333.3333333333</v>
      </c>
      <c r="R6" s="2" t="n">
        <f aca="false">-Farm_PnL!C34/12</f>
        <v>-17333.3333333333</v>
      </c>
      <c r="S6" s="2" t="n">
        <f aca="false">-Farm_PnL!C34/12</f>
        <v>-17333.3333333333</v>
      </c>
      <c r="T6" s="2" t="n">
        <f aca="false">-Farm_PnL!C34/12</f>
        <v>-17333.3333333333</v>
      </c>
      <c r="U6" s="2" t="n">
        <f aca="false">SUM(C6:T6)</f>
        <v>-312000</v>
      </c>
    </row>
    <row r="7" customFormat="false" ht="15" hidden="false" customHeight="false" outlineLevel="0" collapsed="false">
      <c r="A7" s="20" t="s">
        <v>850</v>
      </c>
      <c r="B7" s="6" t="s">
        <v>26</v>
      </c>
      <c r="C7" s="2" t="n">
        <f aca="false">-(Farm_PnL!C35+Farm_PnL!C36+Farm_PnL!C37+Farm_PnL!C38+Farm_PnL!C39+Farm_PnL!C42)/12</f>
        <v>-17916.6666666667</v>
      </c>
      <c r="D7" s="2" t="n">
        <f aca="false">-(Farm_PnL!C35+Farm_PnL!C36+Farm_PnL!C37+Farm_PnL!C38+Farm_PnL!C39+Farm_PnL!C42)/12</f>
        <v>-17916.6666666667</v>
      </c>
      <c r="E7" s="2" t="n">
        <f aca="false">-(Farm_PnL!C35+Farm_PnL!C36+Farm_PnL!C37+Farm_PnL!C38+Farm_PnL!C39+Farm_PnL!C42)/12</f>
        <v>-17916.6666666667</v>
      </c>
      <c r="F7" s="2" t="n">
        <f aca="false">-(Farm_PnL!C35+Farm_PnL!C36+Farm_PnL!C37+Farm_PnL!C38+Farm_PnL!C39+Farm_PnL!C42)/12</f>
        <v>-17916.6666666667</v>
      </c>
      <c r="G7" s="2" t="n">
        <f aca="false">-(Farm_PnL!C35+Farm_PnL!C36+Farm_PnL!C37+Farm_PnL!C38+Farm_PnL!C39+Farm_PnL!C42)/12</f>
        <v>-17916.6666666667</v>
      </c>
      <c r="H7" s="2" t="n">
        <f aca="false">-(Farm_PnL!C35+Farm_PnL!C36+Farm_PnL!C37+Farm_PnL!C38+Farm_PnL!C39+Farm_PnL!C42)/12</f>
        <v>-17916.6666666667</v>
      </c>
      <c r="I7" s="2" t="n">
        <f aca="false">-(Farm_PnL!C35+Farm_PnL!C36+Farm_PnL!C37+Farm_PnL!C38+Farm_PnL!C39+Farm_PnL!C42)/12</f>
        <v>-17916.6666666667</v>
      </c>
      <c r="J7" s="2" t="n">
        <f aca="false">-(Farm_PnL!C35+Farm_PnL!C36+Farm_PnL!C37+Farm_PnL!C38+Farm_PnL!C39+Farm_PnL!C42)/12</f>
        <v>-17916.6666666667</v>
      </c>
      <c r="K7" s="2" t="n">
        <f aca="false">-(Farm_PnL!C35+Farm_PnL!C36+Farm_PnL!C37+Farm_PnL!C38+Farm_PnL!C39+Farm_PnL!C42)/12</f>
        <v>-17916.6666666667</v>
      </c>
      <c r="L7" s="2" t="n">
        <f aca="false">-(Farm_PnL!C35+Farm_PnL!C36+Farm_PnL!C37+Farm_PnL!C38+Farm_PnL!C39+Farm_PnL!C42)/12</f>
        <v>-17916.6666666667</v>
      </c>
      <c r="M7" s="2" t="n">
        <f aca="false">-(Farm_PnL!C35+Farm_PnL!C36+Farm_PnL!C37+Farm_PnL!C38+Farm_PnL!C39+Farm_PnL!C42)/12</f>
        <v>-17916.6666666667</v>
      </c>
      <c r="N7" s="2" t="n">
        <f aca="false">-(Farm_PnL!C35+Farm_PnL!C36+Farm_PnL!C37+Farm_PnL!C38+Farm_PnL!C39+Farm_PnL!C42)/12</f>
        <v>-17916.6666666667</v>
      </c>
      <c r="O7" s="2" t="n">
        <f aca="false">-(Farm_PnL!C35+Farm_PnL!C36+Farm_PnL!C37+Farm_PnL!C38+Farm_PnL!C39+Farm_PnL!C42)/12</f>
        <v>-17916.6666666667</v>
      </c>
      <c r="P7" s="2" t="n">
        <f aca="false">-(Farm_PnL!C35+Farm_PnL!C36+Farm_PnL!C37+Farm_PnL!C38+Farm_PnL!C39+Farm_PnL!C42)/12</f>
        <v>-17916.6666666667</v>
      </c>
      <c r="Q7" s="2" t="n">
        <f aca="false">-(Farm_PnL!C35+Farm_PnL!C36+Farm_PnL!C37+Farm_PnL!C38+Farm_PnL!C39+Farm_PnL!C42)/12</f>
        <v>-17916.6666666667</v>
      </c>
      <c r="R7" s="2" t="n">
        <f aca="false">-(Farm_PnL!C35+Farm_PnL!C36+Farm_PnL!C37+Farm_PnL!C38+Farm_PnL!C39+Farm_PnL!C42)/12</f>
        <v>-17916.6666666667</v>
      </c>
      <c r="S7" s="2" t="n">
        <f aca="false">-(Farm_PnL!C35+Farm_PnL!C36+Farm_PnL!C37+Farm_PnL!C38+Farm_PnL!C39+Farm_PnL!C42)/12</f>
        <v>-17916.6666666667</v>
      </c>
      <c r="T7" s="2" t="n">
        <f aca="false">-(Farm_PnL!C35+Farm_PnL!C36+Farm_PnL!C37+Farm_PnL!C38+Farm_PnL!C39+Farm_PnL!C42)/12</f>
        <v>-17916.6666666667</v>
      </c>
      <c r="U7" s="2" t="n">
        <f aca="false">SUM(C7:T7)</f>
        <v>-322500</v>
      </c>
    </row>
    <row r="8" customFormat="false" ht="15" hidden="false" customHeight="false" outlineLevel="0" collapsed="false">
      <c r="A8" s="20" t="s">
        <v>851</v>
      </c>
      <c r="B8" s="6" t="s">
        <v>26</v>
      </c>
      <c r="C8" s="2" t="n">
        <f aca="false">-Lorry!C25/12</f>
        <v>-80216.6666666667</v>
      </c>
      <c r="D8" s="2" t="n">
        <f aca="false">-Lorry!C25/12</f>
        <v>-80216.6666666667</v>
      </c>
      <c r="E8" s="2" t="n">
        <f aca="false">-Lorry!C25/12</f>
        <v>-80216.6666666667</v>
      </c>
      <c r="F8" s="2" t="n">
        <f aca="false">-Lorry!C25/12</f>
        <v>-80216.6666666667</v>
      </c>
      <c r="G8" s="2" t="n">
        <f aca="false">-Lorry!C25/12</f>
        <v>-80216.6666666667</v>
      </c>
      <c r="H8" s="2" t="n">
        <f aca="false">-Lorry!C25/12</f>
        <v>-80216.6666666667</v>
      </c>
      <c r="I8" s="2" t="n">
        <f aca="false">-Lorry!C25/12</f>
        <v>-80216.6666666667</v>
      </c>
      <c r="J8" s="2" t="n">
        <f aca="false">-Lorry!C25/12</f>
        <v>-80216.6666666667</v>
      </c>
      <c r="K8" s="2" t="n">
        <f aca="false">-Lorry!C25/12</f>
        <v>-80216.6666666667</v>
      </c>
      <c r="L8" s="2" t="n">
        <f aca="false">-Lorry!C25/12</f>
        <v>-80216.6666666667</v>
      </c>
      <c r="M8" s="2" t="n">
        <f aca="false">-Lorry!C25/12</f>
        <v>-80216.6666666667</v>
      </c>
      <c r="N8" s="2" t="n">
        <f aca="false">-Lorry!C25/12</f>
        <v>-80216.6666666667</v>
      </c>
      <c r="O8" s="2" t="n">
        <f aca="false">-Lorry!C25/12</f>
        <v>-80216.6666666667</v>
      </c>
      <c r="P8" s="2" t="n">
        <f aca="false">-Lorry!C25/12</f>
        <v>-80216.6666666667</v>
      </c>
      <c r="Q8" s="2" t="n">
        <f aca="false">-Lorry!C25/12</f>
        <v>-80216.6666666667</v>
      </c>
      <c r="R8" s="2" t="n">
        <f aca="false">-Lorry!C25/12</f>
        <v>-80216.6666666667</v>
      </c>
      <c r="S8" s="2" t="n">
        <f aca="false">-Lorry!C25/12</f>
        <v>-80216.6666666667</v>
      </c>
      <c r="T8" s="2" t="n">
        <f aca="false">-Lorry!C25/12</f>
        <v>-80216.6666666667</v>
      </c>
      <c r="U8" s="2" t="n">
        <f aca="false">SUM(C8:T8)</f>
        <v>-1443900</v>
      </c>
    </row>
    <row r="9" customFormat="false" ht="15" hidden="false" customHeight="false" outlineLevel="0" collapsed="false">
      <c r="A9" s="20" t="s">
        <v>852</v>
      </c>
      <c r="B9" s="6" t="s">
        <v>26</v>
      </c>
      <c r="C9" s="2" t="n">
        <f aca="false">-(B12!C17+B12!C18+B12!C19)/12</f>
        <v>-41666.6666666667</v>
      </c>
      <c r="D9" s="2" t="n">
        <f aca="false">-(B12!C17+B12!C18+B12!C19)/12</f>
        <v>-41666.6666666667</v>
      </c>
      <c r="E9" s="2" t="n">
        <f aca="false">-(B12!C17+B12!C18+B12!C19)/12</f>
        <v>-41666.6666666667</v>
      </c>
      <c r="F9" s="2" t="n">
        <f aca="false">-(B12!C17+B12!C18+B12!C19)/12</f>
        <v>-41666.6666666667</v>
      </c>
      <c r="G9" s="2" t="n">
        <f aca="false">-(B12!C17+B12!C18+B12!C19)/12</f>
        <v>-41666.6666666667</v>
      </c>
      <c r="H9" s="2" t="n">
        <f aca="false">-(B12!C17+B12!C18+B12!C19)/12</f>
        <v>-41666.6666666667</v>
      </c>
      <c r="I9" s="2" t="n">
        <f aca="false">-(B12!C17+B12!C18+B12!C19)/12</f>
        <v>-41666.6666666667</v>
      </c>
      <c r="J9" s="2" t="n">
        <f aca="false">-(B12!C17+B12!C18+B12!C19)/12</f>
        <v>-41666.6666666667</v>
      </c>
      <c r="K9" s="2" t="n">
        <f aca="false">-(B12!C17+B12!C18+B12!C19)/12</f>
        <v>-41666.6666666667</v>
      </c>
      <c r="L9" s="2" t="n">
        <f aca="false">-(B12!C17+B12!C18+B12!C19)/12</f>
        <v>-41666.6666666667</v>
      </c>
      <c r="M9" s="2" t="n">
        <f aca="false">-(B12!C17+B12!C18+B12!C19)/12</f>
        <v>-41666.6666666667</v>
      </c>
      <c r="N9" s="2" t="n">
        <f aca="false">-(B12!C17+B12!C18+B12!C19)/12</f>
        <v>-41666.6666666667</v>
      </c>
      <c r="O9" s="2" t="n">
        <f aca="false">-(B12!C17+B12!C18+B12!C19)/12</f>
        <v>-41666.6666666667</v>
      </c>
      <c r="P9" s="2" t="n">
        <f aca="false">-(B12!C17+B12!C18+B12!C19)/12</f>
        <v>-41666.6666666667</v>
      </c>
      <c r="Q9" s="2" t="n">
        <f aca="false">-(B12!C17+B12!C18+B12!C19)/12</f>
        <v>-41666.6666666667</v>
      </c>
      <c r="R9" s="2" t="n">
        <f aca="false">-(B12!C17+B12!C18+B12!C19)/12</f>
        <v>-41666.6666666667</v>
      </c>
      <c r="S9" s="2" t="n">
        <f aca="false">-(B12!C17+B12!C18+B12!C19)/12</f>
        <v>-41666.6666666667</v>
      </c>
      <c r="T9" s="2" t="n">
        <f aca="false">-(B12!C17+B12!C18+B12!C19)/12</f>
        <v>-41666.6666666667</v>
      </c>
      <c r="U9" s="2" t="n">
        <f aca="false">SUM(C9:T9)</f>
        <v>-750000</v>
      </c>
    </row>
    <row r="10" customFormat="false" ht="15" hidden="false" customHeight="false" outlineLevel="0" collapsed="false">
      <c r="A10" s="20" t="s">
        <v>853</v>
      </c>
      <c r="B10" s="6" t="s">
        <v>26</v>
      </c>
      <c r="C10" s="2" t="n">
        <f aca="false">-(Farm_PnL!C31-Farm_PnL!C59-Farm_PnL!C61)/12</f>
        <v>-75108.3614814815</v>
      </c>
      <c r="D10" s="2" t="n">
        <f aca="false">-(Farm_PnL!C31-Farm_PnL!C59-Farm_PnL!C61)/12</f>
        <v>-75108.3614814815</v>
      </c>
      <c r="E10" s="2" t="n">
        <f aca="false">-(Farm_PnL!C31-Farm_PnL!C59-Farm_PnL!C61)/12</f>
        <v>-75108.3614814815</v>
      </c>
      <c r="F10" s="2" t="n">
        <f aca="false">-(Farm_PnL!C31-Farm_PnL!C59-Farm_PnL!C61)/12</f>
        <v>-75108.3614814815</v>
      </c>
      <c r="G10" s="2" t="n">
        <f aca="false">-(Farm_PnL!C31-Farm_PnL!C59-Farm_PnL!C61)/12</f>
        <v>-75108.3614814815</v>
      </c>
      <c r="H10" s="2" t="n">
        <f aca="false">-(Farm_PnL!C31-Farm_PnL!C59-Farm_PnL!C61)/12</f>
        <v>-75108.3614814815</v>
      </c>
      <c r="I10" s="2" t="n">
        <f aca="false">-(Farm_PnL!C31-Farm_PnL!C59-Farm_PnL!C61)/12</f>
        <v>-75108.3614814815</v>
      </c>
      <c r="J10" s="2" t="n">
        <f aca="false">-(Farm_PnL!C31-Farm_PnL!C59-Farm_PnL!C61)/12</f>
        <v>-75108.3614814815</v>
      </c>
      <c r="K10" s="2" t="n">
        <f aca="false">-(Farm_PnL!C31-Farm_PnL!C59-Farm_PnL!C61)/12</f>
        <v>-75108.3614814815</v>
      </c>
      <c r="L10" s="2" t="n">
        <f aca="false">-(Farm_PnL!C31-Farm_PnL!C59-Farm_PnL!C61)/12</f>
        <v>-75108.3614814815</v>
      </c>
      <c r="M10" s="2" t="n">
        <f aca="false">-(Farm_PnL!C31-Farm_PnL!C59-Farm_PnL!C61)/12</f>
        <v>-75108.3614814815</v>
      </c>
      <c r="N10" s="2" t="n">
        <f aca="false">-(Farm_PnL!C31-Farm_PnL!C59-Farm_PnL!C61)/12</f>
        <v>-75108.3614814815</v>
      </c>
      <c r="O10" s="2" t="n">
        <f aca="false">-(Farm_PnL!C31-Farm_PnL!C59-Farm_PnL!C61)/12</f>
        <v>-75108.3614814815</v>
      </c>
      <c r="P10" s="2" t="n">
        <f aca="false">-(Farm_PnL!C31-Farm_PnL!C59-Farm_PnL!C61)/12</f>
        <v>-75108.3614814815</v>
      </c>
      <c r="Q10" s="2" t="n">
        <f aca="false">-(Farm_PnL!C31-Farm_PnL!C59-Farm_PnL!C61)/12</f>
        <v>-75108.3614814815</v>
      </c>
      <c r="R10" s="2" t="n">
        <f aca="false">-(Farm_PnL!C31-Farm_PnL!C59-Farm_PnL!C61)/12</f>
        <v>-75108.3614814815</v>
      </c>
      <c r="S10" s="2" t="n">
        <f aca="false">-(Farm_PnL!C31-Farm_PnL!C59-Farm_PnL!C61)/12</f>
        <v>-75108.3614814815</v>
      </c>
      <c r="T10" s="2" t="n">
        <f aca="false">-(Farm_PnL!C31-Farm_PnL!C59-Farm_PnL!C61)/12</f>
        <v>-75108.3614814815</v>
      </c>
      <c r="U10" s="2" t="n">
        <f aca="false">SUM(C10:T10)</f>
        <v>-1351950.50666667</v>
      </c>
    </row>
    <row r="11" customFormat="false" ht="15" hidden="false" customHeight="false" outlineLevel="0" collapsed="false">
      <c r="A11" s="20" t="s">
        <v>854</v>
      </c>
      <c r="B11" s="6" t="s">
        <v>26</v>
      </c>
      <c r="C11" s="2" t="n">
        <f aca="false">IF(1&lt;=Inputs!$D$67,0,-(Farm_PnL!C59+Farm_PnL!C61)/12)</f>
        <v>0</v>
      </c>
      <c r="D11" s="2" t="n">
        <f aca="false">IF(2&lt;=Inputs!$D$67,0,-(Farm_PnL!C59+Farm_PnL!C61)/12)</f>
        <v>0</v>
      </c>
      <c r="E11" s="2" t="n">
        <f aca="false">IF(3&lt;=Inputs!$D$67,0,-(Farm_PnL!C59+Farm_PnL!C61)/12)</f>
        <v>0</v>
      </c>
      <c r="F11" s="2" t="n">
        <f aca="false">IF(4&lt;=Inputs!$D$67,0,-(Farm_PnL!C59+Farm_PnL!C61)/12)</f>
        <v>0</v>
      </c>
      <c r="G11" s="2" t="n">
        <f aca="false">IF(5&lt;=Inputs!$D$67,0,-(Farm_PnL!C59+Farm_PnL!C61)/12)</f>
        <v>0</v>
      </c>
      <c r="H11" s="2" t="n">
        <f aca="false">IF(6&lt;=Inputs!$D$67,0,-(Farm_PnL!C59+Farm_PnL!C61)/12)</f>
        <v>0</v>
      </c>
      <c r="I11" s="2" t="n">
        <f aca="false">IF(7&lt;=Inputs!$D$67,0,-(Farm_PnL!C59+Farm_PnL!C61)/12)</f>
        <v>-342520.406746032</v>
      </c>
      <c r="J11" s="2" t="n">
        <f aca="false">IF(8&lt;=Inputs!$D$67,0,-(Farm_PnL!C59+Farm_PnL!C61)/12)</f>
        <v>-342520.406746032</v>
      </c>
      <c r="K11" s="2" t="n">
        <f aca="false">IF(9&lt;=Inputs!$D$67,0,-(Farm_PnL!C59+Farm_PnL!C61)/12)</f>
        <v>-342520.406746032</v>
      </c>
      <c r="L11" s="2" t="n">
        <f aca="false">IF(10&lt;=Inputs!$D$67,0,-(Farm_PnL!C59+Farm_PnL!C61)/12)</f>
        <v>-342520.406746032</v>
      </c>
      <c r="M11" s="2" t="n">
        <f aca="false">IF(11&lt;=Inputs!$D$67,0,-(Farm_PnL!C59+Farm_PnL!C61)/12)</f>
        <v>-342520.406746032</v>
      </c>
      <c r="N11" s="2" t="n">
        <f aca="false">IF(12&lt;=Inputs!$D$67,0,-(Farm_PnL!C59+Farm_PnL!C61)/12)</f>
        <v>-342520.406746032</v>
      </c>
      <c r="O11" s="2" t="n">
        <f aca="false">IF(13&lt;=Inputs!$D$67,0,-(Farm_PnL!C59+Farm_PnL!C61)/12)</f>
        <v>-342520.406746032</v>
      </c>
      <c r="P11" s="2" t="n">
        <f aca="false">IF(14&lt;=Inputs!$D$67,0,-(Farm_PnL!C59+Farm_PnL!C61)/12)</f>
        <v>-342520.406746032</v>
      </c>
      <c r="Q11" s="2" t="n">
        <f aca="false">IF(15&lt;=Inputs!$D$67,0,-(Farm_PnL!C59+Farm_PnL!C61)/12)</f>
        <v>-342520.406746032</v>
      </c>
      <c r="R11" s="2" t="n">
        <f aca="false">IF(16&lt;=Inputs!$D$67,0,-(Farm_PnL!C59+Farm_PnL!C61)/12)</f>
        <v>-342520.406746032</v>
      </c>
      <c r="S11" s="2" t="n">
        <f aca="false">IF(17&lt;=Inputs!$D$67,0,-(Farm_PnL!C59+Farm_PnL!C61)/12)</f>
        <v>-342520.406746032</v>
      </c>
      <c r="T11" s="2" t="n">
        <f aca="false">IF(18&lt;=Inputs!$D$67,0,-(Farm_PnL!C59+Farm_PnL!C61)/12)</f>
        <v>-342520.406746032</v>
      </c>
      <c r="U11" s="2" t="n">
        <f aca="false">SUM(C11:T11)</f>
        <v>-4110244.88095238</v>
      </c>
    </row>
    <row r="12" customFormat="false" ht="15" hidden="false" customHeight="false" outlineLevel="0" collapsed="false">
      <c r="A12" s="1" t="s">
        <v>855</v>
      </c>
      <c r="B12" s="6" t="s">
        <v>26</v>
      </c>
      <c r="C12" s="2" t="n">
        <f aca="false">SUM(C4:C11)</f>
        <v>-37437.3927314815</v>
      </c>
      <c r="D12" s="2" t="n">
        <f aca="false">SUM(D4:D11)</f>
        <v>-37437.3927314815</v>
      </c>
      <c r="E12" s="2" t="n">
        <f aca="false">SUM(E4:E11)</f>
        <v>-37437.3927314815</v>
      </c>
      <c r="F12" s="2" t="n">
        <f aca="false">SUM(F4:F11)</f>
        <v>-37437.3927314815</v>
      </c>
      <c r="G12" s="2" t="n">
        <f aca="false">SUM(G4:G11)</f>
        <v>-37437.3927314815</v>
      </c>
      <c r="H12" s="2" t="n">
        <f aca="false">SUM(H4:H11)</f>
        <v>-37437.3927314815</v>
      </c>
      <c r="I12" s="2" t="n">
        <f aca="false">SUM(I4:I11)</f>
        <v>-379957.799477513</v>
      </c>
      <c r="J12" s="2" t="n">
        <f aca="false">SUM(J4:J11)</f>
        <v>-379957.799477513</v>
      </c>
      <c r="K12" s="2" t="n">
        <f aca="false">SUM(K4:K11)</f>
        <v>-379957.799477513</v>
      </c>
      <c r="L12" s="2" t="n">
        <f aca="false">SUM(L4:L11)</f>
        <v>-379957.799477513</v>
      </c>
      <c r="M12" s="2" t="n">
        <f aca="false">SUM(M4:M11)</f>
        <v>-379957.799477513</v>
      </c>
      <c r="N12" s="2" t="n">
        <f aca="false">SUM(N4:N11)</f>
        <v>-379957.799477513</v>
      </c>
      <c r="O12" s="2" t="n">
        <f aca="false">SUM(O4:O11)</f>
        <v>-379957.799477513</v>
      </c>
      <c r="P12" s="2" t="n">
        <f aca="false">SUM(P4:P11)</f>
        <v>-379957.799477513</v>
      </c>
      <c r="Q12" s="2" t="n">
        <f aca="false">SUM(Q4:Q11)</f>
        <v>-379957.799477513</v>
      </c>
      <c r="R12" s="2" t="n">
        <f aca="false">SUM(R4:R11)</f>
        <v>-379957.799477513</v>
      </c>
      <c r="S12" s="2" t="n">
        <f aca="false">SUM(S4:S11)</f>
        <v>-379957.799477513</v>
      </c>
      <c r="T12" s="2" t="n">
        <f aca="false">SUM(T4:T11)</f>
        <v>-379957.799477513</v>
      </c>
      <c r="U12" s="2" t="n">
        <f aca="false">SUM(C12:T12)</f>
        <v>-4784117.95011905</v>
      </c>
    </row>
    <row r="13" customFormat="false" ht="15" hidden="false" customHeight="false" outlineLevel="0" collapsed="false">
      <c r="A13" s="1" t="s">
        <v>856</v>
      </c>
      <c r="B13" s="6" t="s">
        <v>26</v>
      </c>
      <c r="C13" s="2" t="n">
        <f aca="false">Inputs!C271+C12</f>
        <v>-37437.3927314815</v>
      </c>
      <c r="D13" s="2" t="n">
        <f aca="false">C13+D12</f>
        <v>-74874.7854629631</v>
      </c>
      <c r="E13" s="2" t="n">
        <f aca="false">D13+E12</f>
        <v>-112312.178194445</v>
      </c>
      <c r="F13" s="2" t="n">
        <f aca="false">E13+F12</f>
        <v>-149749.570925926</v>
      </c>
      <c r="G13" s="2" t="n">
        <f aca="false">F13+G12</f>
        <v>-187186.963657408</v>
      </c>
      <c r="H13" s="2" t="n">
        <f aca="false">G13+H12</f>
        <v>-224624.356388889</v>
      </c>
      <c r="I13" s="2" t="n">
        <f aca="false">H13+I12</f>
        <v>-604582.155866402</v>
      </c>
      <c r="J13" s="2" t="n">
        <f aca="false">I13+J12</f>
        <v>-984539.955343916</v>
      </c>
      <c r="K13" s="2" t="n">
        <f aca="false">J13+K12</f>
        <v>-1364497.75482143</v>
      </c>
      <c r="L13" s="2" t="n">
        <f aca="false">K13+L12</f>
        <v>-1744455.55429894</v>
      </c>
      <c r="M13" s="2" t="n">
        <f aca="false">L13+M12</f>
        <v>-2124413.35377646</v>
      </c>
      <c r="N13" s="2" t="n">
        <f aca="false">M13+N12</f>
        <v>-2504371.15325397</v>
      </c>
      <c r="O13" s="2" t="n">
        <f aca="false">N13+O12</f>
        <v>-2884328.95273148</v>
      </c>
      <c r="P13" s="2" t="n">
        <f aca="false">O13+P12</f>
        <v>-3264286.752209</v>
      </c>
      <c r="Q13" s="2" t="n">
        <f aca="false">P13+Q12</f>
        <v>-3644244.55168651</v>
      </c>
      <c r="R13" s="2" t="n">
        <f aca="false">Q13+R12</f>
        <v>-4024202.35116402</v>
      </c>
      <c r="S13" s="2" t="n">
        <f aca="false">R13+S12</f>
        <v>-4404160.15064154</v>
      </c>
      <c r="T13" s="2" t="n">
        <f aca="false">S13+T12</f>
        <v>-4784117.95011905</v>
      </c>
    </row>
    <row r="14" customFormat="false" ht="15" hidden="false" customHeight="false" outlineLevel="0" collapsed="false">
      <c r="A14" s="0" t="s">
        <v>857</v>
      </c>
      <c r="C14" s="2" t="n">
        <f aca="false">MIN(C13:T13)</f>
        <v>-4784117.95011905</v>
      </c>
      <c r="D14" s="6" t="n">
        <f aca="false">MATCH(C14,C13:T13,0)</f>
        <v>18</v>
      </c>
    </row>
    <row r="16" customFormat="false" ht="15" hidden="false" customHeight="false" outlineLevel="0" collapsed="false">
      <c r="A16" s="4" t="s">
        <v>858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customFormat="false" ht="15" hidden="false" customHeight="false" outlineLevel="0" collapsed="false">
      <c r="A17" s="20" t="s">
        <v>848</v>
      </c>
      <c r="B17" s="6" t="s">
        <v>26</v>
      </c>
      <c r="C17" s="2" t="n">
        <f aca="false">Farm_PnL!D15/12</f>
        <v>404510.833333333</v>
      </c>
      <c r="D17" s="2" t="n">
        <f aca="false">Farm_PnL!D15/12</f>
        <v>404510.833333333</v>
      </c>
      <c r="E17" s="2" t="n">
        <f aca="false">Farm_PnL!D15/12</f>
        <v>404510.833333333</v>
      </c>
      <c r="F17" s="2" t="n">
        <f aca="false">Farm_PnL!D15/12</f>
        <v>404510.833333333</v>
      </c>
      <c r="G17" s="2" t="n">
        <f aca="false">Farm_PnL!D15/12</f>
        <v>404510.833333333</v>
      </c>
      <c r="H17" s="2" t="n">
        <f aca="false">Farm_PnL!D15/12</f>
        <v>404510.833333333</v>
      </c>
      <c r="I17" s="2" t="n">
        <f aca="false">Farm_PnL!D15/12</f>
        <v>404510.833333333</v>
      </c>
      <c r="J17" s="2" t="n">
        <f aca="false">Farm_PnL!D15/12</f>
        <v>404510.833333333</v>
      </c>
      <c r="K17" s="2" t="n">
        <f aca="false">Farm_PnL!D15/12</f>
        <v>404510.833333333</v>
      </c>
      <c r="L17" s="2" t="n">
        <f aca="false">Farm_PnL!D15/12</f>
        <v>404510.833333333</v>
      </c>
      <c r="M17" s="2" t="n">
        <f aca="false">Farm_PnL!D15/12</f>
        <v>404510.833333333</v>
      </c>
      <c r="N17" s="2" t="n">
        <f aca="false">Farm_PnL!D15/12</f>
        <v>404510.833333333</v>
      </c>
      <c r="O17" s="2" t="n">
        <f aca="false">Farm_PnL!D15/12</f>
        <v>404510.833333333</v>
      </c>
      <c r="P17" s="2" t="n">
        <f aca="false">Farm_PnL!D15/12</f>
        <v>404510.833333333</v>
      </c>
      <c r="Q17" s="2" t="n">
        <f aca="false">Farm_PnL!D15/12</f>
        <v>404510.833333333</v>
      </c>
      <c r="R17" s="2" t="n">
        <f aca="false">Farm_PnL!D15/12</f>
        <v>404510.833333333</v>
      </c>
      <c r="S17" s="2" t="n">
        <f aca="false">Farm_PnL!D15/12</f>
        <v>404510.833333333</v>
      </c>
      <c r="T17" s="2" t="n">
        <f aca="false">Farm_PnL!D15/12</f>
        <v>404510.833333333</v>
      </c>
      <c r="U17" s="2" t="n">
        <f aca="false">SUM(C17:T17)</f>
        <v>7281195</v>
      </c>
    </row>
    <row r="18" customFormat="false" ht="15" hidden="false" customHeight="false" outlineLevel="0" collapsed="false">
      <c r="A18" s="20" t="s">
        <v>849</v>
      </c>
      <c r="B18" s="6" t="s">
        <v>26</v>
      </c>
      <c r="C18" s="2" t="n">
        <f aca="false">-Farm_PnL!D33/12</f>
        <v>-72350</v>
      </c>
      <c r="D18" s="2" t="n">
        <f aca="false">-Farm_PnL!D33/12</f>
        <v>-72350</v>
      </c>
      <c r="E18" s="2" t="n">
        <f aca="false">-Farm_PnL!D33/12</f>
        <v>-72350</v>
      </c>
      <c r="F18" s="2" t="n">
        <f aca="false">-Farm_PnL!D33/12</f>
        <v>-72350</v>
      </c>
      <c r="G18" s="2" t="n">
        <f aca="false">-Farm_PnL!D33/12</f>
        <v>-72350</v>
      </c>
      <c r="H18" s="2" t="n">
        <f aca="false">-Farm_PnL!D33/12</f>
        <v>-72350</v>
      </c>
      <c r="I18" s="2" t="n">
        <f aca="false">-Farm_PnL!D33/12</f>
        <v>-72350</v>
      </c>
      <c r="J18" s="2" t="n">
        <f aca="false">-Farm_PnL!D33/12</f>
        <v>-72350</v>
      </c>
      <c r="K18" s="2" t="n">
        <f aca="false">-Farm_PnL!D33/12</f>
        <v>-72350</v>
      </c>
      <c r="L18" s="2" t="n">
        <f aca="false">-Farm_PnL!D33/12</f>
        <v>-72350</v>
      </c>
      <c r="M18" s="2" t="n">
        <f aca="false">-Farm_PnL!D33/12</f>
        <v>-72350</v>
      </c>
      <c r="N18" s="2" t="n">
        <f aca="false">-Farm_PnL!D33/12</f>
        <v>-72350</v>
      </c>
      <c r="O18" s="2" t="n">
        <f aca="false">-Farm_PnL!D33/12</f>
        <v>-72350</v>
      </c>
      <c r="P18" s="2" t="n">
        <f aca="false">-Farm_PnL!D33/12</f>
        <v>-72350</v>
      </c>
      <c r="Q18" s="2" t="n">
        <f aca="false">-Farm_PnL!D33/12</f>
        <v>-72350</v>
      </c>
      <c r="R18" s="2" t="n">
        <f aca="false">-Farm_PnL!D33/12</f>
        <v>-72350</v>
      </c>
      <c r="S18" s="2" t="n">
        <f aca="false">-Farm_PnL!D33/12</f>
        <v>-72350</v>
      </c>
      <c r="T18" s="2" t="n">
        <f aca="false">-Farm_PnL!D33/12</f>
        <v>-72350</v>
      </c>
      <c r="U18" s="2" t="n">
        <f aca="false">SUM(C18:T18)</f>
        <v>-1302300</v>
      </c>
    </row>
    <row r="19" customFormat="false" ht="15" hidden="false" customHeight="false" outlineLevel="0" collapsed="false">
      <c r="A19" s="20" t="s">
        <v>30</v>
      </c>
      <c r="B19" s="6" t="s">
        <v>26</v>
      </c>
      <c r="C19" s="2" t="n">
        <f aca="false">-Farm_PnL!D34/12</f>
        <v>-13000</v>
      </c>
      <c r="D19" s="2" t="n">
        <f aca="false">-Farm_PnL!D34/12</f>
        <v>-13000</v>
      </c>
      <c r="E19" s="2" t="n">
        <f aca="false">-Farm_PnL!D34/12</f>
        <v>-13000</v>
      </c>
      <c r="F19" s="2" t="n">
        <f aca="false">-Farm_PnL!D34/12</f>
        <v>-13000</v>
      </c>
      <c r="G19" s="2" t="n">
        <f aca="false">-Farm_PnL!D34/12</f>
        <v>-13000</v>
      </c>
      <c r="H19" s="2" t="n">
        <f aca="false">-Farm_PnL!D34/12</f>
        <v>-13000</v>
      </c>
      <c r="I19" s="2" t="n">
        <f aca="false">-Farm_PnL!D34/12</f>
        <v>-13000</v>
      </c>
      <c r="J19" s="2" t="n">
        <f aca="false">-Farm_PnL!D34/12</f>
        <v>-13000</v>
      </c>
      <c r="K19" s="2" t="n">
        <f aca="false">-Farm_PnL!D34/12</f>
        <v>-13000</v>
      </c>
      <c r="L19" s="2" t="n">
        <f aca="false">-Farm_PnL!D34/12</f>
        <v>-13000</v>
      </c>
      <c r="M19" s="2" t="n">
        <f aca="false">-Farm_PnL!D34/12</f>
        <v>-13000</v>
      </c>
      <c r="N19" s="2" t="n">
        <f aca="false">-Farm_PnL!D34/12</f>
        <v>-13000</v>
      </c>
      <c r="O19" s="2" t="n">
        <f aca="false">-Farm_PnL!D34/12</f>
        <v>-13000</v>
      </c>
      <c r="P19" s="2" t="n">
        <f aca="false">-Farm_PnL!D34/12</f>
        <v>-13000</v>
      </c>
      <c r="Q19" s="2" t="n">
        <f aca="false">-Farm_PnL!D34/12</f>
        <v>-13000</v>
      </c>
      <c r="R19" s="2" t="n">
        <f aca="false">-Farm_PnL!D34/12</f>
        <v>-13000</v>
      </c>
      <c r="S19" s="2" t="n">
        <f aca="false">-Farm_PnL!D34/12</f>
        <v>-13000</v>
      </c>
      <c r="T19" s="2" t="n">
        <f aca="false">-Farm_PnL!D34/12</f>
        <v>-13000</v>
      </c>
      <c r="U19" s="2" t="n">
        <f aca="false">SUM(C19:T19)</f>
        <v>-234000</v>
      </c>
    </row>
    <row r="20" customFormat="false" ht="15" hidden="false" customHeight="false" outlineLevel="0" collapsed="false">
      <c r="A20" s="20" t="s">
        <v>850</v>
      </c>
      <c r="B20" s="6" t="s">
        <v>26</v>
      </c>
      <c r="C20" s="2" t="n">
        <f aca="false">-(Farm_PnL!D35+Farm_PnL!D36+Farm_PnL!D37+Farm_PnL!D38+Farm_PnL!D39+Farm_PnL!D42)/12</f>
        <v>-14833.3333333333</v>
      </c>
      <c r="D20" s="2" t="n">
        <f aca="false">-(Farm_PnL!D35+Farm_PnL!D36+Farm_PnL!D37+Farm_PnL!D38+Farm_PnL!D39+Farm_PnL!D42)/12</f>
        <v>-14833.3333333333</v>
      </c>
      <c r="E20" s="2" t="n">
        <f aca="false">-(Farm_PnL!D35+Farm_PnL!D36+Farm_PnL!D37+Farm_PnL!D38+Farm_PnL!D39+Farm_PnL!D42)/12</f>
        <v>-14833.3333333333</v>
      </c>
      <c r="F20" s="2" t="n">
        <f aca="false">-(Farm_PnL!D35+Farm_PnL!D36+Farm_PnL!D37+Farm_PnL!D38+Farm_PnL!D39+Farm_PnL!D42)/12</f>
        <v>-14833.3333333333</v>
      </c>
      <c r="G20" s="2" t="n">
        <f aca="false">-(Farm_PnL!D35+Farm_PnL!D36+Farm_PnL!D37+Farm_PnL!D38+Farm_PnL!D39+Farm_PnL!D42)/12</f>
        <v>-14833.3333333333</v>
      </c>
      <c r="H20" s="2" t="n">
        <f aca="false">-(Farm_PnL!D35+Farm_PnL!D36+Farm_PnL!D37+Farm_PnL!D38+Farm_PnL!D39+Farm_PnL!D42)/12</f>
        <v>-14833.3333333333</v>
      </c>
      <c r="I20" s="2" t="n">
        <f aca="false">-(Farm_PnL!D35+Farm_PnL!D36+Farm_PnL!D37+Farm_PnL!D38+Farm_PnL!D39+Farm_PnL!D42)/12</f>
        <v>-14833.3333333333</v>
      </c>
      <c r="J20" s="2" t="n">
        <f aca="false">-(Farm_PnL!D35+Farm_PnL!D36+Farm_PnL!D37+Farm_PnL!D38+Farm_PnL!D39+Farm_PnL!D42)/12</f>
        <v>-14833.3333333333</v>
      </c>
      <c r="K20" s="2" t="n">
        <f aca="false">-(Farm_PnL!D35+Farm_PnL!D36+Farm_PnL!D37+Farm_PnL!D38+Farm_PnL!D39+Farm_PnL!D42)/12</f>
        <v>-14833.3333333333</v>
      </c>
      <c r="L20" s="2" t="n">
        <f aca="false">-(Farm_PnL!D35+Farm_PnL!D36+Farm_PnL!D37+Farm_PnL!D38+Farm_PnL!D39+Farm_PnL!D42)/12</f>
        <v>-14833.3333333333</v>
      </c>
      <c r="M20" s="2" t="n">
        <f aca="false">-(Farm_PnL!D35+Farm_PnL!D36+Farm_PnL!D37+Farm_PnL!D38+Farm_PnL!D39+Farm_PnL!D42)/12</f>
        <v>-14833.3333333333</v>
      </c>
      <c r="N20" s="2" t="n">
        <f aca="false">-(Farm_PnL!D35+Farm_PnL!D36+Farm_PnL!D37+Farm_PnL!D38+Farm_PnL!D39+Farm_PnL!D42)/12</f>
        <v>-14833.3333333333</v>
      </c>
      <c r="O20" s="2" t="n">
        <f aca="false">-(Farm_PnL!D35+Farm_PnL!D36+Farm_PnL!D37+Farm_PnL!D38+Farm_PnL!D39+Farm_PnL!D42)/12</f>
        <v>-14833.3333333333</v>
      </c>
      <c r="P20" s="2" t="n">
        <f aca="false">-(Farm_PnL!D35+Farm_PnL!D36+Farm_PnL!D37+Farm_PnL!D38+Farm_PnL!D39+Farm_PnL!D42)/12</f>
        <v>-14833.3333333333</v>
      </c>
      <c r="Q20" s="2" t="n">
        <f aca="false">-(Farm_PnL!D35+Farm_PnL!D36+Farm_PnL!D37+Farm_PnL!D38+Farm_PnL!D39+Farm_PnL!D42)/12</f>
        <v>-14833.3333333333</v>
      </c>
      <c r="R20" s="2" t="n">
        <f aca="false">-(Farm_PnL!D35+Farm_PnL!D36+Farm_PnL!D37+Farm_PnL!D38+Farm_PnL!D39+Farm_PnL!D42)/12</f>
        <v>-14833.3333333333</v>
      </c>
      <c r="S20" s="2" t="n">
        <f aca="false">-(Farm_PnL!D35+Farm_PnL!D36+Farm_PnL!D37+Farm_PnL!D38+Farm_PnL!D39+Farm_PnL!D42)/12</f>
        <v>-14833.3333333333</v>
      </c>
      <c r="T20" s="2" t="n">
        <f aca="false">-(Farm_PnL!D35+Farm_PnL!D36+Farm_PnL!D37+Farm_PnL!D38+Farm_PnL!D39+Farm_PnL!D42)/12</f>
        <v>-14833.3333333333</v>
      </c>
      <c r="U20" s="2" t="n">
        <f aca="false">SUM(C20:T20)</f>
        <v>-267000</v>
      </c>
    </row>
    <row r="21" customFormat="false" ht="15" hidden="false" customHeight="false" outlineLevel="0" collapsed="false">
      <c r="A21" s="20" t="s">
        <v>851</v>
      </c>
      <c r="B21" s="6" t="s">
        <v>26</v>
      </c>
      <c r="C21" s="2" t="n">
        <f aca="false">-Lorry!D25/12</f>
        <v>-50994.4444444444</v>
      </c>
      <c r="D21" s="2" t="n">
        <f aca="false">-Lorry!D25/12</f>
        <v>-50994.4444444444</v>
      </c>
      <c r="E21" s="2" t="n">
        <f aca="false">-Lorry!D25/12</f>
        <v>-50994.4444444444</v>
      </c>
      <c r="F21" s="2" t="n">
        <f aca="false">-Lorry!D25/12</f>
        <v>-50994.4444444444</v>
      </c>
      <c r="G21" s="2" t="n">
        <f aca="false">-Lorry!D25/12</f>
        <v>-50994.4444444444</v>
      </c>
      <c r="H21" s="2" t="n">
        <f aca="false">-Lorry!D25/12</f>
        <v>-50994.4444444444</v>
      </c>
      <c r="I21" s="2" t="n">
        <f aca="false">-Lorry!D25/12</f>
        <v>-50994.4444444444</v>
      </c>
      <c r="J21" s="2" t="n">
        <f aca="false">-Lorry!D25/12</f>
        <v>-50994.4444444444</v>
      </c>
      <c r="K21" s="2" t="n">
        <f aca="false">-Lorry!D25/12</f>
        <v>-50994.4444444444</v>
      </c>
      <c r="L21" s="2" t="n">
        <f aca="false">-Lorry!D25/12</f>
        <v>-50994.4444444444</v>
      </c>
      <c r="M21" s="2" t="n">
        <f aca="false">-Lorry!D25/12</f>
        <v>-50994.4444444444</v>
      </c>
      <c r="N21" s="2" t="n">
        <f aca="false">-Lorry!D25/12</f>
        <v>-50994.4444444444</v>
      </c>
      <c r="O21" s="2" t="n">
        <f aca="false">-Lorry!D25/12</f>
        <v>-50994.4444444444</v>
      </c>
      <c r="P21" s="2" t="n">
        <f aca="false">-Lorry!D25/12</f>
        <v>-50994.4444444444</v>
      </c>
      <c r="Q21" s="2" t="n">
        <f aca="false">-Lorry!D25/12</f>
        <v>-50994.4444444444</v>
      </c>
      <c r="R21" s="2" t="n">
        <f aca="false">-Lorry!D25/12</f>
        <v>-50994.4444444444</v>
      </c>
      <c r="S21" s="2" t="n">
        <f aca="false">-Lorry!D25/12</f>
        <v>-50994.4444444444</v>
      </c>
      <c r="T21" s="2" t="n">
        <f aca="false">-Lorry!D25/12</f>
        <v>-50994.4444444444</v>
      </c>
      <c r="U21" s="2" t="n">
        <f aca="false">SUM(C21:T21)</f>
        <v>-917900</v>
      </c>
    </row>
    <row r="22" customFormat="false" ht="15" hidden="false" customHeight="false" outlineLevel="0" collapsed="false">
      <c r="A22" s="20" t="s">
        <v>852</v>
      </c>
      <c r="B22" s="6" t="s">
        <v>26</v>
      </c>
      <c r="C22" s="2" t="n">
        <f aca="false">-(B12!D17+B12!D18+B12!D19)/12</f>
        <v>-29666.6666666667</v>
      </c>
      <c r="D22" s="2" t="n">
        <f aca="false">-(B12!D17+B12!D18+B12!D19)/12</f>
        <v>-29666.6666666667</v>
      </c>
      <c r="E22" s="2" t="n">
        <f aca="false">-(B12!D17+B12!D18+B12!D19)/12</f>
        <v>-29666.6666666667</v>
      </c>
      <c r="F22" s="2" t="n">
        <f aca="false">-(B12!D17+B12!D18+B12!D19)/12</f>
        <v>-29666.6666666667</v>
      </c>
      <c r="G22" s="2" t="n">
        <f aca="false">-(B12!D17+B12!D18+B12!D19)/12</f>
        <v>-29666.6666666667</v>
      </c>
      <c r="H22" s="2" t="n">
        <f aca="false">-(B12!D17+B12!D18+B12!D19)/12</f>
        <v>-29666.6666666667</v>
      </c>
      <c r="I22" s="2" t="n">
        <f aca="false">-(B12!D17+B12!D18+B12!D19)/12</f>
        <v>-29666.6666666667</v>
      </c>
      <c r="J22" s="2" t="n">
        <f aca="false">-(B12!D17+B12!D18+B12!D19)/12</f>
        <v>-29666.6666666667</v>
      </c>
      <c r="K22" s="2" t="n">
        <f aca="false">-(B12!D17+B12!D18+B12!D19)/12</f>
        <v>-29666.6666666667</v>
      </c>
      <c r="L22" s="2" t="n">
        <f aca="false">-(B12!D17+B12!D18+B12!D19)/12</f>
        <v>-29666.6666666667</v>
      </c>
      <c r="M22" s="2" t="n">
        <f aca="false">-(B12!D17+B12!D18+B12!D19)/12</f>
        <v>-29666.6666666667</v>
      </c>
      <c r="N22" s="2" t="n">
        <f aca="false">-(B12!D17+B12!D18+B12!D19)/12</f>
        <v>-29666.6666666667</v>
      </c>
      <c r="O22" s="2" t="n">
        <f aca="false">-(B12!D17+B12!D18+B12!D19)/12</f>
        <v>-29666.6666666667</v>
      </c>
      <c r="P22" s="2" t="n">
        <f aca="false">-(B12!D17+B12!D18+B12!D19)/12</f>
        <v>-29666.6666666667</v>
      </c>
      <c r="Q22" s="2" t="n">
        <f aca="false">-(B12!D17+B12!D18+B12!D19)/12</f>
        <v>-29666.6666666667</v>
      </c>
      <c r="R22" s="2" t="n">
        <f aca="false">-(B12!D17+B12!D18+B12!D19)/12</f>
        <v>-29666.6666666667</v>
      </c>
      <c r="S22" s="2" t="n">
        <f aca="false">-(B12!D17+B12!D18+B12!D19)/12</f>
        <v>-29666.6666666667</v>
      </c>
      <c r="T22" s="2" t="n">
        <f aca="false">-(B12!D17+B12!D18+B12!D19)/12</f>
        <v>-29666.6666666667</v>
      </c>
      <c r="U22" s="2" t="n">
        <f aca="false">SUM(C22:T22)</f>
        <v>-534000</v>
      </c>
    </row>
    <row r="23" customFormat="false" ht="15" hidden="false" customHeight="false" outlineLevel="0" collapsed="false">
      <c r="A23" s="20" t="s">
        <v>853</v>
      </c>
      <c r="B23" s="6" t="s">
        <v>26</v>
      </c>
      <c r="C23" s="2" t="n">
        <f aca="false">-(Farm_PnL!D31-Farm_PnL!D59-Farm_PnL!D61)/12</f>
        <v>-73416.1362318841</v>
      </c>
      <c r="D23" s="2" t="n">
        <f aca="false">-(Farm_PnL!D31-Farm_PnL!D59-Farm_PnL!D61)/12</f>
        <v>-73416.1362318841</v>
      </c>
      <c r="E23" s="2" t="n">
        <f aca="false">-(Farm_PnL!D31-Farm_PnL!D59-Farm_PnL!D61)/12</f>
        <v>-73416.1362318841</v>
      </c>
      <c r="F23" s="2" t="n">
        <f aca="false">-(Farm_PnL!D31-Farm_PnL!D59-Farm_PnL!D61)/12</f>
        <v>-73416.1362318841</v>
      </c>
      <c r="G23" s="2" t="n">
        <f aca="false">-(Farm_PnL!D31-Farm_PnL!D59-Farm_PnL!D61)/12</f>
        <v>-73416.1362318841</v>
      </c>
      <c r="H23" s="2" t="n">
        <f aca="false">-(Farm_PnL!D31-Farm_PnL!D59-Farm_PnL!D61)/12</f>
        <v>-73416.1362318841</v>
      </c>
      <c r="I23" s="2" t="n">
        <f aca="false">-(Farm_PnL!D31-Farm_PnL!D59-Farm_PnL!D61)/12</f>
        <v>-73416.1362318841</v>
      </c>
      <c r="J23" s="2" t="n">
        <f aca="false">-(Farm_PnL!D31-Farm_PnL!D59-Farm_PnL!D61)/12</f>
        <v>-73416.1362318841</v>
      </c>
      <c r="K23" s="2" t="n">
        <f aca="false">-(Farm_PnL!D31-Farm_PnL!D59-Farm_PnL!D61)/12</f>
        <v>-73416.1362318841</v>
      </c>
      <c r="L23" s="2" t="n">
        <f aca="false">-(Farm_PnL!D31-Farm_PnL!D59-Farm_PnL!D61)/12</f>
        <v>-73416.1362318841</v>
      </c>
      <c r="M23" s="2" t="n">
        <f aca="false">-(Farm_PnL!D31-Farm_PnL!D59-Farm_PnL!D61)/12</f>
        <v>-73416.1362318841</v>
      </c>
      <c r="N23" s="2" t="n">
        <f aca="false">-(Farm_PnL!D31-Farm_PnL!D59-Farm_PnL!D61)/12</f>
        <v>-73416.1362318841</v>
      </c>
      <c r="O23" s="2" t="n">
        <f aca="false">-(Farm_PnL!D31-Farm_PnL!D59-Farm_PnL!D61)/12</f>
        <v>-73416.1362318841</v>
      </c>
      <c r="P23" s="2" t="n">
        <f aca="false">-(Farm_PnL!D31-Farm_PnL!D59-Farm_PnL!D61)/12</f>
        <v>-73416.1362318841</v>
      </c>
      <c r="Q23" s="2" t="n">
        <f aca="false">-(Farm_PnL!D31-Farm_PnL!D59-Farm_PnL!D61)/12</f>
        <v>-73416.1362318841</v>
      </c>
      <c r="R23" s="2" t="n">
        <f aca="false">-(Farm_PnL!D31-Farm_PnL!D59-Farm_PnL!D61)/12</f>
        <v>-73416.1362318841</v>
      </c>
      <c r="S23" s="2" t="n">
        <f aca="false">-(Farm_PnL!D31-Farm_PnL!D59-Farm_PnL!D61)/12</f>
        <v>-73416.1362318841</v>
      </c>
      <c r="T23" s="2" t="n">
        <f aca="false">-(Farm_PnL!D31-Farm_PnL!D59-Farm_PnL!D61)/12</f>
        <v>-73416.1362318841</v>
      </c>
      <c r="U23" s="2" t="n">
        <f aca="false">SUM(C23:T23)</f>
        <v>-1321490.45217391</v>
      </c>
    </row>
    <row r="24" customFormat="false" ht="15" hidden="false" customHeight="false" outlineLevel="0" collapsed="false">
      <c r="A24" s="20" t="s">
        <v>854</v>
      </c>
      <c r="B24" s="6" t="s">
        <v>26</v>
      </c>
      <c r="C24" s="2" t="n">
        <f aca="false">IF(1&lt;=Inputs!$D$67,0,-(Farm_PnL!D59+Farm_PnL!D61)/12)</f>
        <v>0</v>
      </c>
      <c r="D24" s="2" t="n">
        <f aca="false">IF(2&lt;=Inputs!$D$67,0,-(Farm_PnL!D59+Farm_PnL!D61)/12)</f>
        <v>0</v>
      </c>
      <c r="E24" s="2" t="n">
        <f aca="false">IF(3&lt;=Inputs!$D$67,0,-(Farm_PnL!D59+Farm_PnL!D61)/12)</f>
        <v>0</v>
      </c>
      <c r="F24" s="2" t="n">
        <f aca="false">IF(4&lt;=Inputs!$D$67,0,-(Farm_PnL!D59+Farm_PnL!D61)/12)</f>
        <v>0</v>
      </c>
      <c r="G24" s="2" t="n">
        <f aca="false">IF(5&lt;=Inputs!$D$67,0,-(Farm_PnL!D59+Farm_PnL!D61)/12)</f>
        <v>0</v>
      </c>
      <c r="H24" s="2" t="n">
        <f aca="false">IF(6&lt;=Inputs!$D$67,0,-(Farm_PnL!D59+Farm_PnL!D61)/12)</f>
        <v>0</v>
      </c>
      <c r="I24" s="2" t="n">
        <f aca="false">IF(7&lt;=Inputs!$D$67,0,-(Farm_PnL!D59+Farm_PnL!D61)/12)</f>
        <v>-262859.296066253</v>
      </c>
      <c r="J24" s="2" t="n">
        <f aca="false">IF(8&lt;=Inputs!$D$67,0,-(Farm_PnL!D59+Farm_PnL!D61)/12)</f>
        <v>-262859.296066253</v>
      </c>
      <c r="K24" s="2" t="n">
        <f aca="false">IF(9&lt;=Inputs!$D$67,0,-(Farm_PnL!D59+Farm_PnL!D61)/12)</f>
        <v>-262859.296066253</v>
      </c>
      <c r="L24" s="2" t="n">
        <f aca="false">IF(10&lt;=Inputs!$D$67,0,-(Farm_PnL!D59+Farm_PnL!D61)/12)</f>
        <v>-262859.296066253</v>
      </c>
      <c r="M24" s="2" t="n">
        <f aca="false">IF(11&lt;=Inputs!$D$67,0,-(Farm_PnL!D59+Farm_PnL!D61)/12)</f>
        <v>-262859.296066253</v>
      </c>
      <c r="N24" s="2" t="n">
        <f aca="false">IF(12&lt;=Inputs!$D$67,0,-(Farm_PnL!D59+Farm_PnL!D61)/12)</f>
        <v>-262859.296066253</v>
      </c>
      <c r="O24" s="2" t="n">
        <f aca="false">IF(13&lt;=Inputs!$D$67,0,-(Farm_PnL!D59+Farm_PnL!D61)/12)</f>
        <v>-262859.296066253</v>
      </c>
      <c r="P24" s="2" t="n">
        <f aca="false">IF(14&lt;=Inputs!$D$67,0,-(Farm_PnL!D59+Farm_PnL!D61)/12)</f>
        <v>-262859.296066253</v>
      </c>
      <c r="Q24" s="2" t="n">
        <f aca="false">IF(15&lt;=Inputs!$D$67,0,-(Farm_PnL!D59+Farm_PnL!D61)/12)</f>
        <v>-262859.296066253</v>
      </c>
      <c r="R24" s="2" t="n">
        <f aca="false">IF(16&lt;=Inputs!$D$67,0,-(Farm_PnL!D59+Farm_PnL!D61)/12)</f>
        <v>-262859.296066253</v>
      </c>
      <c r="S24" s="2" t="n">
        <f aca="false">IF(17&lt;=Inputs!$D$67,0,-(Farm_PnL!D59+Farm_PnL!D61)/12)</f>
        <v>-262859.296066253</v>
      </c>
      <c r="T24" s="2" t="n">
        <f aca="false">IF(18&lt;=Inputs!$D$67,0,-(Farm_PnL!D59+Farm_PnL!D61)/12)</f>
        <v>-262859.296066253</v>
      </c>
      <c r="U24" s="2" t="n">
        <f aca="false">SUM(C24:T24)</f>
        <v>-3154311.55279503</v>
      </c>
    </row>
    <row r="25" customFormat="false" ht="15" hidden="false" customHeight="false" outlineLevel="0" collapsed="false">
      <c r="A25" s="1" t="s">
        <v>855</v>
      </c>
      <c r="B25" s="6" t="s">
        <v>26</v>
      </c>
      <c r="C25" s="2" t="n">
        <f aca="false">SUM(C17:C24)</f>
        <v>150250.252657005</v>
      </c>
      <c r="D25" s="2" t="n">
        <f aca="false">SUM(D17:D24)</f>
        <v>150250.252657005</v>
      </c>
      <c r="E25" s="2" t="n">
        <f aca="false">SUM(E17:E24)</f>
        <v>150250.252657005</v>
      </c>
      <c r="F25" s="2" t="n">
        <f aca="false">SUM(F17:F24)</f>
        <v>150250.252657005</v>
      </c>
      <c r="G25" s="2" t="n">
        <f aca="false">SUM(G17:G24)</f>
        <v>150250.252657005</v>
      </c>
      <c r="H25" s="2" t="n">
        <f aca="false">SUM(H17:H24)</f>
        <v>150250.252657005</v>
      </c>
      <c r="I25" s="2" t="n">
        <f aca="false">SUM(I17:I24)</f>
        <v>-112609.043409248</v>
      </c>
      <c r="J25" s="2" t="n">
        <f aca="false">SUM(J17:J24)</f>
        <v>-112609.043409248</v>
      </c>
      <c r="K25" s="2" t="n">
        <f aca="false">SUM(K17:K24)</f>
        <v>-112609.043409248</v>
      </c>
      <c r="L25" s="2" t="n">
        <f aca="false">SUM(L17:L24)</f>
        <v>-112609.043409248</v>
      </c>
      <c r="M25" s="2" t="n">
        <f aca="false">SUM(M17:M24)</f>
        <v>-112609.043409248</v>
      </c>
      <c r="N25" s="2" t="n">
        <f aca="false">SUM(N17:N24)</f>
        <v>-112609.043409248</v>
      </c>
      <c r="O25" s="2" t="n">
        <f aca="false">SUM(O17:O24)</f>
        <v>-112609.043409248</v>
      </c>
      <c r="P25" s="2" t="n">
        <f aca="false">SUM(P17:P24)</f>
        <v>-112609.043409248</v>
      </c>
      <c r="Q25" s="2" t="n">
        <f aca="false">SUM(Q17:Q24)</f>
        <v>-112609.043409248</v>
      </c>
      <c r="R25" s="2" t="n">
        <f aca="false">SUM(R17:R24)</f>
        <v>-112609.043409248</v>
      </c>
      <c r="S25" s="2" t="n">
        <f aca="false">SUM(S17:S24)</f>
        <v>-112609.043409248</v>
      </c>
      <c r="T25" s="2" t="n">
        <f aca="false">SUM(T17:T24)</f>
        <v>-112609.043409248</v>
      </c>
      <c r="U25" s="2" t="n">
        <f aca="false">SUM(C25:T25)</f>
        <v>-449807.004968945</v>
      </c>
    </row>
    <row r="26" customFormat="false" ht="15" hidden="false" customHeight="false" outlineLevel="0" collapsed="false">
      <c r="A26" s="1" t="s">
        <v>856</v>
      </c>
      <c r="B26" s="6" t="s">
        <v>26</v>
      </c>
      <c r="C26" s="2" t="n">
        <f aca="false">Inputs!D271+C25</f>
        <v>150250.252657005</v>
      </c>
      <c r="D26" s="2" t="n">
        <f aca="false">C26+D25</f>
        <v>300500.50531401</v>
      </c>
      <c r="E26" s="2" t="n">
        <f aca="false">D26+E25</f>
        <v>450750.757971014</v>
      </c>
      <c r="F26" s="2" t="n">
        <f aca="false">E26+F25</f>
        <v>601001.010628019</v>
      </c>
      <c r="G26" s="2" t="n">
        <f aca="false">F26+G25</f>
        <v>751251.263285024</v>
      </c>
      <c r="H26" s="2" t="n">
        <f aca="false">G26+H25</f>
        <v>901501.515942029</v>
      </c>
      <c r="I26" s="2" t="n">
        <f aca="false">H26+I25</f>
        <v>788892.472532781</v>
      </c>
      <c r="J26" s="2" t="n">
        <f aca="false">I26+J25</f>
        <v>676283.429123533</v>
      </c>
      <c r="K26" s="2" t="n">
        <f aca="false">J26+K25</f>
        <v>563674.385714286</v>
      </c>
      <c r="L26" s="2" t="n">
        <f aca="false">K26+L25</f>
        <v>451065.342305038</v>
      </c>
      <c r="M26" s="2" t="n">
        <f aca="false">L26+M25</f>
        <v>338456.29889579</v>
      </c>
      <c r="N26" s="2" t="n">
        <f aca="false">M26+N25</f>
        <v>225847.255486542</v>
      </c>
      <c r="O26" s="2" t="n">
        <f aca="false">N26+O25</f>
        <v>113238.212077295</v>
      </c>
      <c r="P26" s="2" t="n">
        <f aca="false">O26+P25</f>
        <v>629.168668046739</v>
      </c>
      <c r="Q26" s="2" t="n">
        <f aca="false">P26+Q25</f>
        <v>-111979.874741201</v>
      </c>
      <c r="R26" s="2" t="n">
        <f aca="false">Q26+R25</f>
        <v>-224588.918150449</v>
      </c>
      <c r="S26" s="2" t="n">
        <f aca="false">R26+S25</f>
        <v>-337197.961559697</v>
      </c>
      <c r="T26" s="2" t="n">
        <f aca="false">S26+T25</f>
        <v>-449807.004968945</v>
      </c>
    </row>
    <row r="27" customFormat="false" ht="15" hidden="false" customHeight="false" outlineLevel="0" collapsed="false">
      <c r="A27" s="0" t="s">
        <v>857</v>
      </c>
      <c r="C27" s="2" t="n">
        <f aca="false">MIN(C26:T26)</f>
        <v>-449807.004968945</v>
      </c>
      <c r="D27" s="6" t="n">
        <f aca="false">MATCH(C27,C26:T26,0)</f>
        <v>18</v>
      </c>
    </row>
    <row r="29" customFormat="false" ht="15" hidden="false" customHeight="false" outlineLevel="0" collapsed="false">
      <c r="A29" s="4" t="s">
        <v>859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customFormat="false" ht="15" hidden="false" customHeight="false" outlineLevel="0" collapsed="false">
      <c r="A30" s="20" t="s">
        <v>848</v>
      </c>
      <c r="B30" s="6" t="s">
        <v>26</v>
      </c>
      <c r="C30" s="2" t="n">
        <f aca="false">Farm_PnL!E15/12</f>
        <v>583021.9</v>
      </c>
      <c r="D30" s="2" t="n">
        <f aca="false">Farm_PnL!E15/12</f>
        <v>583021.9</v>
      </c>
      <c r="E30" s="2" t="n">
        <f aca="false">Farm_PnL!E15/12</f>
        <v>583021.9</v>
      </c>
      <c r="F30" s="2" t="n">
        <f aca="false">Farm_PnL!E15/12</f>
        <v>583021.9</v>
      </c>
      <c r="G30" s="2" t="n">
        <f aca="false">Farm_PnL!E15/12</f>
        <v>583021.9</v>
      </c>
      <c r="H30" s="2" t="n">
        <f aca="false">Farm_PnL!E15/12</f>
        <v>583021.9</v>
      </c>
      <c r="I30" s="2" t="n">
        <f aca="false">Farm_PnL!E15/12</f>
        <v>583021.9</v>
      </c>
      <c r="J30" s="2" t="n">
        <f aca="false">Farm_PnL!E15/12</f>
        <v>583021.9</v>
      </c>
      <c r="K30" s="2" t="n">
        <f aca="false">Farm_PnL!E15/12</f>
        <v>583021.9</v>
      </c>
      <c r="L30" s="2" t="n">
        <f aca="false">Farm_PnL!E15/12</f>
        <v>583021.9</v>
      </c>
      <c r="M30" s="2" t="n">
        <f aca="false">Farm_PnL!E15/12</f>
        <v>583021.9</v>
      </c>
      <c r="N30" s="2" t="n">
        <f aca="false">Farm_PnL!E15/12</f>
        <v>583021.9</v>
      </c>
      <c r="O30" s="2" t="n">
        <f aca="false">Farm_PnL!E15/12</f>
        <v>583021.9</v>
      </c>
      <c r="P30" s="2" t="n">
        <f aca="false">Farm_PnL!E15/12</f>
        <v>583021.9</v>
      </c>
      <c r="Q30" s="2" t="n">
        <f aca="false">Farm_PnL!E15/12</f>
        <v>583021.9</v>
      </c>
      <c r="R30" s="2" t="n">
        <f aca="false">Farm_PnL!E15/12</f>
        <v>583021.9</v>
      </c>
      <c r="S30" s="2" t="n">
        <f aca="false">Farm_PnL!E15/12</f>
        <v>583021.9</v>
      </c>
      <c r="T30" s="2" t="n">
        <f aca="false">Farm_PnL!E15/12</f>
        <v>583021.9</v>
      </c>
      <c r="U30" s="2" t="n">
        <f aca="false">SUM(C30:T30)</f>
        <v>10494394.2</v>
      </c>
    </row>
    <row r="31" customFormat="false" ht="15" hidden="false" customHeight="false" outlineLevel="0" collapsed="false">
      <c r="A31" s="20" t="s">
        <v>849</v>
      </c>
      <c r="B31" s="6" t="s">
        <v>26</v>
      </c>
      <c r="C31" s="2" t="n">
        <f aca="false">-Farm_PnL!E33/12</f>
        <v>-72141.6666666667</v>
      </c>
      <c r="D31" s="2" t="n">
        <f aca="false">-Farm_PnL!E33/12</f>
        <v>-72141.6666666667</v>
      </c>
      <c r="E31" s="2" t="n">
        <f aca="false">-Farm_PnL!E33/12</f>
        <v>-72141.6666666667</v>
      </c>
      <c r="F31" s="2" t="n">
        <f aca="false">-Farm_PnL!E33/12</f>
        <v>-72141.6666666667</v>
      </c>
      <c r="G31" s="2" t="n">
        <f aca="false">-Farm_PnL!E33/12</f>
        <v>-72141.6666666667</v>
      </c>
      <c r="H31" s="2" t="n">
        <f aca="false">-Farm_PnL!E33/12</f>
        <v>-72141.6666666667</v>
      </c>
      <c r="I31" s="2" t="n">
        <f aca="false">-Farm_PnL!E33/12</f>
        <v>-72141.6666666667</v>
      </c>
      <c r="J31" s="2" t="n">
        <f aca="false">-Farm_PnL!E33/12</f>
        <v>-72141.6666666667</v>
      </c>
      <c r="K31" s="2" t="n">
        <f aca="false">-Farm_PnL!E33/12</f>
        <v>-72141.6666666667</v>
      </c>
      <c r="L31" s="2" t="n">
        <f aca="false">-Farm_PnL!E33/12</f>
        <v>-72141.6666666667</v>
      </c>
      <c r="M31" s="2" t="n">
        <f aca="false">-Farm_PnL!E33/12</f>
        <v>-72141.6666666667</v>
      </c>
      <c r="N31" s="2" t="n">
        <f aca="false">-Farm_PnL!E33/12</f>
        <v>-72141.6666666667</v>
      </c>
      <c r="O31" s="2" t="n">
        <f aca="false">-Farm_PnL!E33/12</f>
        <v>-72141.6666666667</v>
      </c>
      <c r="P31" s="2" t="n">
        <f aca="false">-Farm_PnL!E33/12</f>
        <v>-72141.6666666667</v>
      </c>
      <c r="Q31" s="2" t="n">
        <f aca="false">-Farm_PnL!E33/12</f>
        <v>-72141.6666666667</v>
      </c>
      <c r="R31" s="2" t="n">
        <f aca="false">-Farm_PnL!E33/12</f>
        <v>-72141.6666666667</v>
      </c>
      <c r="S31" s="2" t="n">
        <f aca="false">-Farm_PnL!E33/12</f>
        <v>-72141.6666666667</v>
      </c>
      <c r="T31" s="2" t="n">
        <f aca="false">-Farm_PnL!E33/12</f>
        <v>-72141.6666666667</v>
      </c>
      <c r="U31" s="2" t="n">
        <f aca="false">SUM(C31:T31)</f>
        <v>-1298550</v>
      </c>
    </row>
    <row r="32" customFormat="false" ht="15" hidden="false" customHeight="false" outlineLevel="0" collapsed="false">
      <c r="A32" s="20" t="s">
        <v>30</v>
      </c>
      <c r="B32" s="6" t="s">
        <v>26</v>
      </c>
      <c r="C32" s="2" t="n">
        <f aca="false">-Farm_PnL!E34/12</f>
        <v>-8666.66666666667</v>
      </c>
      <c r="D32" s="2" t="n">
        <f aca="false">-Farm_PnL!E34/12</f>
        <v>-8666.66666666667</v>
      </c>
      <c r="E32" s="2" t="n">
        <f aca="false">-Farm_PnL!E34/12</f>
        <v>-8666.66666666667</v>
      </c>
      <c r="F32" s="2" t="n">
        <f aca="false">-Farm_PnL!E34/12</f>
        <v>-8666.66666666667</v>
      </c>
      <c r="G32" s="2" t="n">
        <f aca="false">-Farm_PnL!E34/12</f>
        <v>-8666.66666666667</v>
      </c>
      <c r="H32" s="2" t="n">
        <f aca="false">-Farm_PnL!E34/12</f>
        <v>-8666.66666666667</v>
      </c>
      <c r="I32" s="2" t="n">
        <f aca="false">-Farm_PnL!E34/12</f>
        <v>-8666.66666666667</v>
      </c>
      <c r="J32" s="2" t="n">
        <f aca="false">-Farm_PnL!E34/12</f>
        <v>-8666.66666666667</v>
      </c>
      <c r="K32" s="2" t="n">
        <f aca="false">-Farm_PnL!E34/12</f>
        <v>-8666.66666666667</v>
      </c>
      <c r="L32" s="2" t="n">
        <f aca="false">-Farm_PnL!E34/12</f>
        <v>-8666.66666666667</v>
      </c>
      <c r="M32" s="2" t="n">
        <f aca="false">-Farm_PnL!E34/12</f>
        <v>-8666.66666666667</v>
      </c>
      <c r="N32" s="2" t="n">
        <f aca="false">-Farm_PnL!E34/12</f>
        <v>-8666.66666666667</v>
      </c>
      <c r="O32" s="2" t="n">
        <f aca="false">-Farm_PnL!E34/12</f>
        <v>-8666.66666666667</v>
      </c>
      <c r="P32" s="2" t="n">
        <f aca="false">-Farm_PnL!E34/12</f>
        <v>-8666.66666666667</v>
      </c>
      <c r="Q32" s="2" t="n">
        <f aca="false">-Farm_PnL!E34/12</f>
        <v>-8666.66666666667</v>
      </c>
      <c r="R32" s="2" t="n">
        <f aca="false">-Farm_PnL!E34/12</f>
        <v>-8666.66666666667</v>
      </c>
      <c r="S32" s="2" t="n">
        <f aca="false">-Farm_PnL!E34/12</f>
        <v>-8666.66666666667</v>
      </c>
      <c r="T32" s="2" t="n">
        <f aca="false">-Farm_PnL!E34/12</f>
        <v>-8666.66666666667</v>
      </c>
      <c r="U32" s="2" t="n">
        <f aca="false">SUM(C32:T32)</f>
        <v>-156000</v>
      </c>
    </row>
    <row r="33" customFormat="false" ht="15" hidden="false" customHeight="false" outlineLevel="0" collapsed="false">
      <c r="A33" s="20" t="s">
        <v>850</v>
      </c>
      <c r="B33" s="6" t="s">
        <v>26</v>
      </c>
      <c r="C33" s="2" t="n">
        <f aca="false">-(Farm_PnL!E35+Farm_PnL!E36+Farm_PnL!E37+Farm_PnL!E38+Farm_PnL!E39+Farm_PnL!E42)/12</f>
        <v>-11666.6666666667</v>
      </c>
      <c r="D33" s="2" t="n">
        <f aca="false">-(Farm_PnL!E35+Farm_PnL!E36+Farm_PnL!E37+Farm_PnL!E38+Farm_PnL!E39+Farm_PnL!E42)/12</f>
        <v>-11666.6666666667</v>
      </c>
      <c r="E33" s="2" t="n">
        <f aca="false">-(Farm_PnL!E35+Farm_PnL!E36+Farm_PnL!E37+Farm_PnL!E38+Farm_PnL!E39+Farm_PnL!E42)/12</f>
        <v>-11666.6666666667</v>
      </c>
      <c r="F33" s="2" t="n">
        <f aca="false">-(Farm_PnL!E35+Farm_PnL!E36+Farm_PnL!E37+Farm_PnL!E38+Farm_PnL!E39+Farm_PnL!E42)/12</f>
        <v>-11666.6666666667</v>
      </c>
      <c r="G33" s="2" t="n">
        <f aca="false">-(Farm_PnL!E35+Farm_PnL!E36+Farm_PnL!E37+Farm_PnL!E38+Farm_PnL!E39+Farm_PnL!E42)/12</f>
        <v>-11666.6666666667</v>
      </c>
      <c r="H33" s="2" t="n">
        <f aca="false">-(Farm_PnL!E35+Farm_PnL!E36+Farm_PnL!E37+Farm_PnL!E38+Farm_PnL!E39+Farm_PnL!E42)/12</f>
        <v>-11666.6666666667</v>
      </c>
      <c r="I33" s="2" t="n">
        <f aca="false">-(Farm_PnL!E35+Farm_PnL!E36+Farm_PnL!E37+Farm_PnL!E38+Farm_PnL!E39+Farm_PnL!E42)/12</f>
        <v>-11666.6666666667</v>
      </c>
      <c r="J33" s="2" t="n">
        <f aca="false">-(Farm_PnL!E35+Farm_PnL!E36+Farm_PnL!E37+Farm_PnL!E38+Farm_PnL!E39+Farm_PnL!E42)/12</f>
        <v>-11666.6666666667</v>
      </c>
      <c r="K33" s="2" t="n">
        <f aca="false">-(Farm_PnL!E35+Farm_PnL!E36+Farm_PnL!E37+Farm_PnL!E38+Farm_PnL!E39+Farm_PnL!E42)/12</f>
        <v>-11666.6666666667</v>
      </c>
      <c r="L33" s="2" t="n">
        <f aca="false">-(Farm_PnL!E35+Farm_PnL!E36+Farm_PnL!E37+Farm_PnL!E38+Farm_PnL!E39+Farm_PnL!E42)/12</f>
        <v>-11666.6666666667</v>
      </c>
      <c r="M33" s="2" t="n">
        <f aca="false">-(Farm_PnL!E35+Farm_PnL!E36+Farm_PnL!E37+Farm_PnL!E38+Farm_PnL!E39+Farm_PnL!E42)/12</f>
        <v>-11666.6666666667</v>
      </c>
      <c r="N33" s="2" t="n">
        <f aca="false">-(Farm_PnL!E35+Farm_PnL!E36+Farm_PnL!E37+Farm_PnL!E38+Farm_PnL!E39+Farm_PnL!E42)/12</f>
        <v>-11666.6666666667</v>
      </c>
      <c r="O33" s="2" t="n">
        <f aca="false">-(Farm_PnL!E35+Farm_PnL!E36+Farm_PnL!E37+Farm_PnL!E38+Farm_PnL!E39+Farm_PnL!E42)/12</f>
        <v>-11666.6666666667</v>
      </c>
      <c r="P33" s="2" t="n">
        <f aca="false">-(Farm_PnL!E35+Farm_PnL!E36+Farm_PnL!E37+Farm_PnL!E38+Farm_PnL!E39+Farm_PnL!E42)/12</f>
        <v>-11666.6666666667</v>
      </c>
      <c r="Q33" s="2" t="n">
        <f aca="false">-(Farm_PnL!E35+Farm_PnL!E36+Farm_PnL!E37+Farm_PnL!E38+Farm_PnL!E39+Farm_PnL!E42)/12</f>
        <v>-11666.6666666667</v>
      </c>
      <c r="R33" s="2" t="n">
        <f aca="false">-(Farm_PnL!E35+Farm_PnL!E36+Farm_PnL!E37+Farm_PnL!E38+Farm_PnL!E39+Farm_PnL!E42)/12</f>
        <v>-11666.6666666667</v>
      </c>
      <c r="S33" s="2" t="n">
        <f aca="false">-(Farm_PnL!E35+Farm_PnL!E36+Farm_PnL!E37+Farm_PnL!E38+Farm_PnL!E39+Farm_PnL!E42)/12</f>
        <v>-11666.6666666667</v>
      </c>
      <c r="T33" s="2" t="n">
        <f aca="false">-(Farm_PnL!E35+Farm_PnL!E36+Farm_PnL!E37+Farm_PnL!E38+Farm_PnL!E39+Farm_PnL!E42)/12</f>
        <v>-11666.6666666667</v>
      </c>
      <c r="U33" s="2" t="n">
        <f aca="false">SUM(C33:T33)</f>
        <v>-210000</v>
      </c>
    </row>
    <row r="34" customFormat="false" ht="15" hidden="false" customHeight="false" outlineLevel="0" collapsed="false">
      <c r="A34" s="20" t="s">
        <v>851</v>
      </c>
      <c r="B34" s="6" t="s">
        <v>26</v>
      </c>
      <c r="C34" s="2" t="n">
        <f aca="false">-Lorry!E25/12</f>
        <v>-34197.7272727273</v>
      </c>
      <c r="D34" s="2" t="n">
        <f aca="false">-Lorry!E25/12</f>
        <v>-34197.7272727273</v>
      </c>
      <c r="E34" s="2" t="n">
        <f aca="false">-Lorry!E25/12</f>
        <v>-34197.7272727273</v>
      </c>
      <c r="F34" s="2" t="n">
        <f aca="false">-Lorry!E25/12</f>
        <v>-34197.7272727273</v>
      </c>
      <c r="G34" s="2" t="n">
        <f aca="false">-Lorry!E25/12</f>
        <v>-34197.7272727273</v>
      </c>
      <c r="H34" s="2" t="n">
        <f aca="false">-Lorry!E25/12</f>
        <v>-34197.7272727273</v>
      </c>
      <c r="I34" s="2" t="n">
        <f aca="false">-Lorry!E25/12</f>
        <v>-34197.7272727273</v>
      </c>
      <c r="J34" s="2" t="n">
        <f aca="false">-Lorry!E25/12</f>
        <v>-34197.7272727273</v>
      </c>
      <c r="K34" s="2" t="n">
        <f aca="false">-Lorry!E25/12</f>
        <v>-34197.7272727273</v>
      </c>
      <c r="L34" s="2" t="n">
        <f aca="false">-Lorry!E25/12</f>
        <v>-34197.7272727273</v>
      </c>
      <c r="M34" s="2" t="n">
        <f aca="false">-Lorry!E25/12</f>
        <v>-34197.7272727273</v>
      </c>
      <c r="N34" s="2" t="n">
        <f aca="false">-Lorry!E25/12</f>
        <v>-34197.7272727273</v>
      </c>
      <c r="O34" s="2" t="n">
        <f aca="false">-Lorry!E25/12</f>
        <v>-34197.7272727273</v>
      </c>
      <c r="P34" s="2" t="n">
        <f aca="false">-Lorry!E25/12</f>
        <v>-34197.7272727273</v>
      </c>
      <c r="Q34" s="2" t="n">
        <f aca="false">-Lorry!E25/12</f>
        <v>-34197.7272727273</v>
      </c>
      <c r="R34" s="2" t="n">
        <f aca="false">-Lorry!E25/12</f>
        <v>-34197.7272727273</v>
      </c>
      <c r="S34" s="2" t="n">
        <f aca="false">-Lorry!E25/12</f>
        <v>-34197.7272727273</v>
      </c>
      <c r="T34" s="2" t="n">
        <f aca="false">-Lorry!E25/12</f>
        <v>-34197.7272727273</v>
      </c>
      <c r="U34" s="2" t="n">
        <f aca="false">SUM(C34:T34)</f>
        <v>-615559.090909091</v>
      </c>
    </row>
    <row r="35" customFormat="false" ht="15" hidden="false" customHeight="false" outlineLevel="0" collapsed="false">
      <c r="A35" s="20" t="s">
        <v>852</v>
      </c>
      <c r="B35" s="6" t="s">
        <v>26</v>
      </c>
      <c r="C35" s="2" t="n">
        <f aca="false">-(B12!E17+B12!E18+B12!E19)/12</f>
        <v>-25666.6666666667</v>
      </c>
      <c r="D35" s="2" t="n">
        <f aca="false">-(B12!E17+B12!E18+B12!E19)/12</f>
        <v>-25666.6666666667</v>
      </c>
      <c r="E35" s="2" t="n">
        <f aca="false">-(B12!E17+B12!E18+B12!E19)/12</f>
        <v>-25666.6666666667</v>
      </c>
      <c r="F35" s="2" t="n">
        <f aca="false">-(B12!E17+B12!E18+B12!E19)/12</f>
        <v>-25666.6666666667</v>
      </c>
      <c r="G35" s="2" t="n">
        <f aca="false">-(B12!E17+B12!E18+B12!E19)/12</f>
        <v>-25666.6666666667</v>
      </c>
      <c r="H35" s="2" t="n">
        <f aca="false">-(B12!E17+B12!E18+B12!E19)/12</f>
        <v>-25666.6666666667</v>
      </c>
      <c r="I35" s="2" t="n">
        <f aca="false">-(B12!E17+B12!E18+B12!E19)/12</f>
        <v>-25666.6666666667</v>
      </c>
      <c r="J35" s="2" t="n">
        <f aca="false">-(B12!E17+B12!E18+B12!E19)/12</f>
        <v>-25666.6666666667</v>
      </c>
      <c r="K35" s="2" t="n">
        <f aca="false">-(B12!E17+B12!E18+B12!E19)/12</f>
        <v>-25666.6666666667</v>
      </c>
      <c r="L35" s="2" t="n">
        <f aca="false">-(B12!E17+B12!E18+B12!E19)/12</f>
        <v>-25666.6666666667</v>
      </c>
      <c r="M35" s="2" t="n">
        <f aca="false">-(B12!E17+B12!E18+B12!E19)/12</f>
        <v>-25666.6666666667</v>
      </c>
      <c r="N35" s="2" t="n">
        <f aca="false">-(B12!E17+B12!E18+B12!E19)/12</f>
        <v>-25666.6666666667</v>
      </c>
      <c r="O35" s="2" t="n">
        <f aca="false">-(B12!E17+B12!E18+B12!E19)/12</f>
        <v>-25666.6666666667</v>
      </c>
      <c r="P35" s="2" t="n">
        <f aca="false">-(B12!E17+B12!E18+B12!E19)/12</f>
        <v>-25666.6666666667</v>
      </c>
      <c r="Q35" s="2" t="n">
        <f aca="false">-(B12!E17+B12!E18+B12!E19)/12</f>
        <v>-25666.6666666667</v>
      </c>
      <c r="R35" s="2" t="n">
        <f aca="false">-(B12!E17+B12!E18+B12!E19)/12</f>
        <v>-25666.6666666667</v>
      </c>
      <c r="S35" s="2" t="n">
        <f aca="false">-(B12!E17+B12!E18+B12!E19)/12</f>
        <v>-25666.6666666667</v>
      </c>
      <c r="T35" s="2" t="n">
        <f aca="false">-(B12!E17+B12!E18+B12!E19)/12</f>
        <v>-25666.6666666667</v>
      </c>
      <c r="U35" s="2" t="n">
        <f aca="false">SUM(C35:T35)</f>
        <v>-462000</v>
      </c>
    </row>
    <row r="36" customFormat="false" ht="15" hidden="false" customHeight="false" outlineLevel="0" collapsed="false">
      <c r="A36" s="20" t="s">
        <v>853</v>
      </c>
      <c r="B36" s="6" t="s">
        <v>26</v>
      </c>
      <c r="C36" s="2" t="n">
        <f aca="false">-(Farm_PnL!E31-Farm_PnL!E59-Farm_PnL!E61)/12</f>
        <v>-72580.5710070922</v>
      </c>
      <c r="D36" s="2" t="n">
        <f aca="false">-(Farm_PnL!E31-Farm_PnL!E59-Farm_PnL!E61)/12</f>
        <v>-72580.5710070922</v>
      </c>
      <c r="E36" s="2" t="n">
        <f aca="false">-(Farm_PnL!E31-Farm_PnL!E59-Farm_PnL!E61)/12</f>
        <v>-72580.5710070922</v>
      </c>
      <c r="F36" s="2" t="n">
        <f aca="false">-(Farm_PnL!E31-Farm_PnL!E59-Farm_PnL!E61)/12</f>
        <v>-72580.5710070922</v>
      </c>
      <c r="G36" s="2" t="n">
        <f aca="false">-(Farm_PnL!E31-Farm_PnL!E59-Farm_PnL!E61)/12</f>
        <v>-72580.5710070922</v>
      </c>
      <c r="H36" s="2" t="n">
        <f aca="false">-(Farm_PnL!E31-Farm_PnL!E59-Farm_PnL!E61)/12</f>
        <v>-72580.5710070922</v>
      </c>
      <c r="I36" s="2" t="n">
        <f aca="false">-(Farm_PnL!E31-Farm_PnL!E59-Farm_PnL!E61)/12</f>
        <v>-72580.5710070922</v>
      </c>
      <c r="J36" s="2" t="n">
        <f aca="false">-(Farm_PnL!E31-Farm_PnL!E59-Farm_PnL!E61)/12</f>
        <v>-72580.5710070922</v>
      </c>
      <c r="K36" s="2" t="n">
        <f aca="false">-(Farm_PnL!E31-Farm_PnL!E59-Farm_PnL!E61)/12</f>
        <v>-72580.5710070922</v>
      </c>
      <c r="L36" s="2" t="n">
        <f aca="false">-(Farm_PnL!E31-Farm_PnL!E59-Farm_PnL!E61)/12</f>
        <v>-72580.5710070922</v>
      </c>
      <c r="M36" s="2" t="n">
        <f aca="false">-(Farm_PnL!E31-Farm_PnL!E59-Farm_PnL!E61)/12</f>
        <v>-72580.5710070922</v>
      </c>
      <c r="N36" s="2" t="n">
        <f aca="false">-(Farm_PnL!E31-Farm_PnL!E59-Farm_PnL!E61)/12</f>
        <v>-72580.5710070922</v>
      </c>
      <c r="O36" s="2" t="n">
        <f aca="false">-(Farm_PnL!E31-Farm_PnL!E59-Farm_PnL!E61)/12</f>
        <v>-72580.5710070922</v>
      </c>
      <c r="P36" s="2" t="n">
        <f aca="false">-(Farm_PnL!E31-Farm_PnL!E59-Farm_PnL!E61)/12</f>
        <v>-72580.5710070922</v>
      </c>
      <c r="Q36" s="2" t="n">
        <f aca="false">-(Farm_PnL!E31-Farm_PnL!E59-Farm_PnL!E61)/12</f>
        <v>-72580.5710070922</v>
      </c>
      <c r="R36" s="2" t="n">
        <f aca="false">-(Farm_PnL!E31-Farm_PnL!E59-Farm_PnL!E61)/12</f>
        <v>-72580.5710070922</v>
      </c>
      <c r="S36" s="2" t="n">
        <f aca="false">-(Farm_PnL!E31-Farm_PnL!E59-Farm_PnL!E61)/12</f>
        <v>-72580.5710070922</v>
      </c>
      <c r="T36" s="2" t="n">
        <f aca="false">-(Farm_PnL!E31-Farm_PnL!E59-Farm_PnL!E61)/12</f>
        <v>-72580.5710070922</v>
      </c>
      <c r="U36" s="2" t="n">
        <f aca="false">SUM(C36:T36)</f>
        <v>-1306450.27812766</v>
      </c>
    </row>
    <row r="37" customFormat="false" ht="15" hidden="false" customHeight="false" outlineLevel="0" collapsed="false">
      <c r="A37" s="20" t="s">
        <v>854</v>
      </c>
      <c r="B37" s="6" t="s">
        <v>26</v>
      </c>
      <c r="C37" s="2" t="n">
        <f aca="false">IF(1&lt;=Inputs!$D$67,0,-(Farm_PnL!E59+Farm_PnL!E61)/12)</f>
        <v>0</v>
      </c>
      <c r="D37" s="2" t="n">
        <f aca="false">IF(2&lt;=Inputs!$D$67,0,-(Farm_PnL!E59+Farm_PnL!E61)/12)</f>
        <v>0</v>
      </c>
      <c r="E37" s="2" t="n">
        <f aca="false">IF(3&lt;=Inputs!$D$67,0,-(Farm_PnL!E59+Farm_PnL!E61)/12)</f>
        <v>0</v>
      </c>
      <c r="F37" s="2" t="n">
        <f aca="false">IF(4&lt;=Inputs!$D$67,0,-(Farm_PnL!E59+Farm_PnL!E61)/12)</f>
        <v>0</v>
      </c>
      <c r="G37" s="2" t="n">
        <f aca="false">IF(5&lt;=Inputs!$D$67,0,-(Farm_PnL!E59+Farm_PnL!E61)/12)</f>
        <v>0</v>
      </c>
      <c r="H37" s="2" t="n">
        <f aca="false">IF(6&lt;=Inputs!$D$67,0,-(Farm_PnL!E59+Farm_PnL!E61)/12)</f>
        <v>0</v>
      </c>
      <c r="I37" s="2" t="n">
        <f aca="false">IF(7&lt;=Inputs!$D$67,0,-(Farm_PnL!E59+Farm_PnL!E61)/12)</f>
        <v>-211155.092451874</v>
      </c>
      <c r="J37" s="2" t="n">
        <f aca="false">IF(8&lt;=Inputs!$D$67,0,-(Farm_PnL!E59+Farm_PnL!E61)/12)</f>
        <v>-211155.092451874</v>
      </c>
      <c r="K37" s="2" t="n">
        <f aca="false">IF(9&lt;=Inputs!$D$67,0,-(Farm_PnL!E59+Farm_PnL!E61)/12)</f>
        <v>-211155.092451874</v>
      </c>
      <c r="L37" s="2" t="n">
        <f aca="false">IF(10&lt;=Inputs!$D$67,0,-(Farm_PnL!E59+Farm_PnL!E61)/12)</f>
        <v>-211155.092451874</v>
      </c>
      <c r="M37" s="2" t="n">
        <f aca="false">IF(11&lt;=Inputs!$D$67,0,-(Farm_PnL!E59+Farm_PnL!E61)/12)</f>
        <v>-211155.092451874</v>
      </c>
      <c r="N37" s="2" t="n">
        <f aca="false">IF(12&lt;=Inputs!$D$67,0,-(Farm_PnL!E59+Farm_PnL!E61)/12)</f>
        <v>-211155.092451874</v>
      </c>
      <c r="O37" s="2" t="n">
        <f aca="false">IF(13&lt;=Inputs!$D$67,0,-(Farm_PnL!E59+Farm_PnL!E61)/12)</f>
        <v>-211155.092451874</v>
      </c>
      <c r="P37" s="2" t="n">
        <f aca="false">IF(14&lt;=Inputs!$D$67,0,-(Farm_PnL!E59+Farm_PnL!E61)/12)</f>
        <v>-211155.092451874</v>
      </c>
      <c r="Q37" s="2" t="n">
        <f aca="false">IF(15&lt;=Inputs!$D$67,0,-(Farm_PnL!E59+Farm_PnL!E61)/12)</f>
        <v>-211155.092451874</v>
      </c>
      <c r="R37" s="2" t="n">
        <f aca="false">IF(16&lt;=Inputs!$D$67,0,-(Farm_PnL!E59+Farm_PnL!E61)/12)</f>
        <v>-211155.092451874</v>
      </c>
      <c r="S37" s="2" t="n">
        <f aca="false">IF(17&lt;=Inputs!$D$67,0,-(Farm_PnL!E59+Farm_PnL!E61)/12)</f>
        <v>-211155.092451874</v>
      </c>
      <c r="T37" s="2" t="n">
        <f aca="false">IF(18&lt;=Inputs!$D$67,0,-(Farm_PnL!E59+Farm_PnL!E61)/12)</f>
        <v>-211155.092451874</v>
      </c>
      <c r="U37" s="2" t="n">
        <f aca="false">SUM(C37:T37)</f>
        <v>-2533861.10942249</v>
      </c>
    </row>
    <row r="38" customFormat="false" ht="15" hidden="false" customHeight="false" outlineLevel="0" collapsed="false">
      <c r="A38" s="1" t="s">
        <v>855</v>
      </c>
      <c r="B38" s="6" t="s">
        <v>26</v>
      </c>
      <c r="C38" s="2" t="n">
        <f aca="false">SUM(C30:C37)</f>
        <v>358101.935053514</v>
      </c>
      <c r="D38" s="2" t="n">
        <f aca="false">SUM(D30:D37)</f>
        <v>358101.935053514</v>
      </c>
      <c r="E38" s="2" t="n">
        <f aca="false">SUM(E30:E37)</f>
        <v>358101.935053514</v>
      </c>
      <c r="F38" s="2" t="n">
        <f aca="false">SUM(F30:F37)</f>
        <v>358101.935053514</v>
      </c>
      <c r="G38" s="2" t="n">
        <f aca="false">SUM(G30:G37)</f>
        <v>358101.935053514</v>
      </c>
      <c r="H38" s="2" t="n">
        <f aca="false">SUM(H30:H37)</f>
        <v>358101.935053514</v>
      </c>
      <c r="I38" s="2" t="n">
        <f aca="false">SUM(I30:I37)</f>
        <v>146946.84260164</v>
      </c>
      <c r="J38" s="2" t="n">
        <f aca="false">SUM(J30:J37)</f>
        <v>146946.84260164</v>
      </c>
      <c r="K38" s="2" t="n">
        <f aca="false">SUM(K30:K37)</f>
        <v>146946.84260164</v>
      </c>
      <c r="L38" s="2" t="n">
        <f aca="false">SUM(L30:L37)</f>
        <v>146946.84260164</v>
      </c>
      <c r="M38" s="2" t="n">
        <f aca="false">SUM(M30:M37)</f>
        <v>146946.84260164</v>
      </c>
      <c r="N38" s="2" t="n">
        <f aca="false">SUM(N30:N37)</f>
        <v>146946.84260164</v>
      </c>
      <c r="O38" s="2" t="n">
        <f aca="false">SUM(O30:O37)</f>
        <v>146946.84260164</v>
      </c>
      <c r="P38" s="2" t="n">
        <f aca="false">SUM(P30:P37)</f>
        <v>146946.84260164</v>
      </c>
      <c r="Q38" s="2" t="n">
        <f aca="false">SUM(Q30:Q37)</f>
        <v>146946.84260164</v>
      </c>
      <c r="R38" s="2" t="n">
        <f aca="false">SUM(R30:R37)</f>
        <v>146946.84260164</v>
      </c>
      <c r="S38" s="2" t="n">
        <f aca="false">SUM(S30:S37)</f>
        <v>146946.84260164</v>
      </c>
      <c r="T38" s="2" t="n">
        <f aca="false">SUM(T30:T37)</f>
        <v>146946.84260164</v>
      </c>
      <c r="U38" s="2" t="n">
        <f aca="false">SUM(C38:T38)</f>
        <v>3911973.72154076</v>
      </c>
    </row>
    <row r="39" customFormat="false" ht="15" hidden="false" customHeight="false" outlineLevel="0" collapsed="false">
      <c r="A39" s="1" t="s">
        <v>856</v>
      </c>
      <c r="B39" s="6" t="s">
        <v>26</v>
      </c>
      <c r="C39" s="2" t="n">
        <f aca="false">Inputs!E271+C38</f>
        <v>358101.935053514</v>
      </c>
      <c r="D39" s="2" t="n">
        <f aca="false">C39+D38</f>
        <v>716203.870107028</v>
      </c>
      <c r="E39" s="2" t="n">
        <f aca="false">D39+E38</f>
        <v>1074305.80516054</v>
      </c>
      <c r="F39" s="2" t="n">
        <f aca="false">E39+F38</f>
        <v>1432407.74021406</v>
      </c>
      <c r="G39" s="2" t="n">
        <f aca="false">F39+G38</f>
        <v>1790509.67526757</v>
      </c>
      <c r="H39" s="2" t="n">
        <f aca="false">G39+H38</f>
        <v>2148611.61032108</v>
      </c>
      <c r="I39" s="2" t="n">
        <f aca="false">H39+I38</f>
        <v>2295558.45292272</v>
      </c>
      <c r="J39" s="2" t="n">
        <f aca="false">I39+J38</f>
        <v>2442505.29552436</v>
      </c>
      <c r="K39" s="2" t="n">
        <f aca="false">J39+K38</f>
        <v>2589452.138126</v>
      </c>
      <c r="L39" s="2" t="n">
        <f aca="false">K39+L38</f>
        <v>2736398.98072764</v>
      </c>
      <c r="M39" s="2" t="n">
        <f aca="false">L39+M38</f>
        <v>2883345.82332928</v>
      </c>
      <c r="N39" s="2" t="n">
        <f aca="false">M39+N38</f>
        <v>3030292.66593092</v>
      </c>
      <c r="O39" s="2" t="n">
        <f aca="false">N39+O38</f>
        <v>3177239.50853256</v>
      </c>
      <c r="P39" s="2" t="n">
        <f aca="false">O39+P38</f>
        <v>3324186.3511342</v>
      </c>
      <c r="Q39" s="2" t="n">
        <f aca="false">P39+Q38</f>
        <v>3471133.19373584</v>
      </c>
      <c r="R39" s="2" t="n">
        <f aca="false">Q39+R38</f>
        <v>3618080.03633748</v>
      </c>
      <c r="S39" s="2" t="n">
        <f aca="false">R39+S38</f>
        <v>3765026.87893912</v>
      </c>
      <c r="T39" s="2" t="n">
        <f aca="false">S39+T38</f>
        <v>3911973.72154076</v>
      </c>
    </row>
    <row r="40" customFormat="false" ht="15" hidden="false" customHeight="false" outlineLevel="0" collapsed="false">
      <c r="A40" s="0" t="s">
        <v>857</v>
      </c>
      <c r="C40" s="2" t="n">
        <f aca="false">MIN(C39:T39)</f>
        <v>358101.935053514</v>
      </c>
      <c r="D40" s="6" t="n">
        <f aca="false">MATCH(C40,C39:T39,0)</f>
        <v>1</v>
      </c>
    </row>
    <row r="42" customFormat="false" ht="15" hidden="false" customHeight="false" outlineLevel="0" collapsed="false">
      <c r="A42" s="4" t="s">
        <v>860</v>
      </c>
      <c r="B42" s="5"/>
      <c r="C42" s="5"/>
      <c r="D42" s="5"/>
      <c r="E42" s="5"/>
      <c r="F42" s="5"/>
      <c r="G42" s="5"/>
    </row>
    <row r="43" customFormat="false" ht="15" hidden="false" customHeight="false" outlineLevel="0" collapsed="false">
      <c r="A43" s="0" t="s">
        <v>861</v>
      </c>
      <c r="C43" s="2" t="n">
        <f aca="false">MAX(0,-C14)</f>
        <v>4784117.95011905</v>
      </c>
      <c r="D43" s="2" t="n">
        <f aca="false">MAX(0,-C27)</f>
        <v>449807.004968945</v>
      </c>
      <c r="E43" s="2" t="n">
        <f aca="false">MAX(0,-C40)</f>
        <v>0</v>
      </c>
    </row>
    <row r="44" customFormat="false" ht="15" hidden="false" customHeight="false" outlineLevel="0" collapsed="false">
      <c r="A44" s="0" t="s">
        <v>83</v>
      </c>
      <c r="C44" s="2" t="n">
        <f aca="false">T13</f>
        <v>-4784117.95011905</v>
      </c>
      <c r="D44" s="2" t="n">
        <f aca="false">T26</f>
        <v>-449807.004968945</v>
      </c>
      <c r="E44" s="2" t="n">
        <f aca="false">T39</f>
        <v>3911973.72154076</v>
      </c>
    </row>
    <row r="45" customFormat="false" ht="15" hidden="false" customHeight="false" outlineLevel="0" collapsed="false">
      <c r="A45" s="0" t="s">
        <v>862</v>
      </c>
      <c r="C45" s="2" t="n">
        <f aca="false">D14</f>
        <v>18</v>
      </c>
      <c r="D45" s="2" t="n">
        <f aca="false">D27</f>
        <v>18</v>
      </c>
      <c r="E45" s="2" t="n">
        <f aca="false">D40</f>
        <v>1</v>
      </c>
    </row>
    <row r="46" customFormat="false" ht="15" hidden="false" customHeight="false" outlineLevel="0" collapsed="false">
      <c r="A46" s="0" t="s">
        <v>863</v>
      </c>
      <c r="C46" s="2" t="n">
        <f aca="false">AVERAGE(I12:T12)</f>
        <v>-379957.799477513</v>
      </c>
      <c r="D46" s="2" t="n">
        <f aca="false">AVERAGE(I25:T25)</f>
        <v>-112609.043409248</v>
      </c>
      <c r="E46" s="2" t="n">
        <f aca="false">AVERAGE(I38:T38)</f>
        <v>146946.84260164</v>
      </c>
    </row>
    <row r="47" customFormat="false" ht="15" hidden="false" customHeight="false" outlineLevel="0" collapsed="false">
      <c r="A47" s="0" t="s">
        <v>864</v>
      </c>
      <c r="C47" s="2" t="n">
        <f aca="false">AVERAGE(C12:H12)</f>
        <v>-37437.3927314815</v>
      </c>
      <c r="D47" s="2" t="n">
        <f aca="false">AVERAGE(C25:H25)</f>
        <v>150250.252657005</v>
      </c>
      <c r="E47" s="2" t="n">
        <f aca="false">AVERAGE(C38:H38)</f>
        <v>358101.935053514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865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866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33</v>
      </c>
      <c r="B4" s="0" t="s">
        <v>26</v>
      </c>
      <c r="C4" s="2" t="n">
        <f aca="false">Farm_PnL!C46</f>
        <v>-4681368.59373016</v>
      </c>
      <c r="D4" s="2" t="n">
        <f aca="false">Farm_PnL!D46</f>
        <v>-1532808.52091097</v>
      </c>
      <c r="E4" s="2" t="n">
        <f aca="false">Farm_PnL!E46</f>
        <v>1590112.11121967</v>
      </c>
      <c r="F4" s="2" t="n">
        <f aca="false">D4/Inputs!$D$4</f>
        <v>-11800.8200855414</v>
      </c>
    </row>
    <row r="5" customFormat="false" ht="15" hidden="false" customHeight="false" outlineLevel="0" collapsed="false">
      <c r="A5" s="0" t="s">
        <v>25</v>
      </c>
      <c r="B5" s="0" t="s">
        <v>26</v>
      </c>
      <c r="C5" s="2" t="n">
        <f aca="false">Farm_PnL!C15</f>
        <v>3249336</v>
      </c>
      <c r="D5" s="2" t="n">
        <f aca="false">Farm_PnL!D15</f>
        <v>4854130</v>
      </c>
      <c r="E5" s="2" t="n">
        <f aca="false">Farm_PnL!E15</f>
        <v>6996262.8</v>
      </c>
      <c r="F5" s="2" t="n">
        <f aca="false">D5/Inputs!$D$4</f>
        <v>37371.0832242667</v>
      </c>
    </row>
    <row r="6" customFormat="false" ht="15" hidden="false" customHeight="false" outlineLevel="0" collapsed="false">
      <c r="A6" s="0" t="s">
        <v>867</v>
      </c>
      <c r="B6" s="0" t="s">
        <v>26</v>
      </c>
      <c r="C6" s="2" t="n">
        <f aca="false">Farm_PnL!C63</f>
        <v>11119669.8363095</v>
      </c>
      <c r="D6" s="2" t="n">
        <f aca="false">Farm_PnL!D63</f>
        <v>10564511.3319531</v>
      </c>
      <c r="E6" s="2" t="n">
        <f aca="false">Farm_PnL!E63</f>
        <v>10208609.34259</v>
      </c>
      <c r="F6" s="2" t="n">
        <f aca="false">D6/Inputs!$D$4</f>
        <v>81334.293109193</v>
      </c>
    </row>
    <row r="7" customFormat="false" ht="15" hidden="false" customHeight="false" outlineLevel="0" collapsed="false">
      <c r="A7" s="0" t="s">
        <v>868</v>
      </c>
      <c r="B7" s="0" t="s">
        <v>26</v>
      </c>
      <c r="C7" s="2" t="n">
        <f aca="false">Inputs!C6*Farm_PnL!C65</f>
        <v>0</v>
      </c>
      <c r="D7" s="2" t="n">
        <f aca="false">Inputs!D6*Farm_PnL!D65</f>
        <v>115000</v>
      </c>
      <c r="E7" s="2" t="n">
        <f aca="false">Inputs!E6*Farm_PnL!E65</f>
        <v>322000</v>
      </c>
      <c r="F7" s="2" t="n">
        <f aca="false">D7/Inputs!$D$4</f>
        <v>885.364539225499</v>
      </c>
    </row>
    <row r="8" customFormat="false" ht="15" hidden="false" customHeight="false" outlineLevel="0" collapsed="false">
      <c r="A8" s="0" t="s">
        <v>869</v>
      </c>
      <c r="B8" s="0" t="s">
        <v>26</v>
      </c>
      <c r="C8" s="2" t="n">
        <f aca="false">Inputs!C7*Farm_PnL!C63</f>
        <v>555983.491815476</v>
      </c>
      <c r="D8" s="2" t="n">
        <f aca="false">Inputs!D7*Farm_PnL!D63</f>
        <v>422580.453278123</v>
      </c>
      <c r="E8" s="2" t="n">
        <f aca="false">Inputs!E7*Farm_PnL!E63</f>
        <v>306258.280277701</v>
      </c>
      <c r="F8" s="2" t="n">
        <f aca="false">D8/Inputs!$D$4</f>
        <v>3253.37172436772</v>
      </c>
    </row>
    <row r="9" customFormat="false" ht="15" hidden="false" customHeight="false" outlineLevel="0" collapsed="false">
      <c r="A9" s="4" t="s">
        <v>870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0" t="s">
        <v>871</v>
      </c>
      <c r="B10" s="0" t="s">
        <v>528</v>
      </c>
      <c r="C10" s="2" t="n">
        <f aca="false">Inputs!C292</f>
        <v>450</v>
      </c>
      <c r="D10" s="2" t="n">
        <f aca="false">Inputs!D292</f>
        <v>390</v>
      </c>
      <c r="E10" s="2" t="n">
        <f aca="false">Inputs!E292</f>
        <v>330</v>
      </c>
    </row>
    <row r="11" customFormat="false" ht="15" hidden="false" customHeight="false" outlineLevel="0" collapsed="false">
      <c r="A11" s="0" t="s">
        <v>872</v>
      </c>
      <c r="B11" s="0" t="s">
        <v>26</v>
      </c>
      <c r="C11" s="2" t="n">
        <f aca="false">Overhead!$C$17</f>
        <v>994000</v>
      </c>
      <c r="D11" s="2" t="n">
        <f aca="false">Overhead!$C$17</f>
        <v>994000</v>
      </c>
      <c r="E11" s="2" t="n">
        <f aca="false">Overhead!$C$17</f>
        <v>994000</v>
      </c>
      <c r="F11" s="2" t="n">
        <f aca="false">D11/Inputs!$D$4</f>
        <v>7652.6291477404</v>
      </c>
    </row>
    <row r="12" customFormat="false" ht="15" hidden="false" customHeight="false" outlineLevel="0" collapsed="false">
      <c r="A12" s="0" t="s">
        <v>873</v>
      </c>
      <c r="B12" s="0" t="s">
        <v>26</v>
      </c>
      <c r="C12" s="2" t="n">
        <f aca="false">Overhead!$C$24</f>
        <v>660000</v>
      </c>
      <c r="D12" s="2" t="n">
        <f aca="false">Overhead!$C$24</f>
        <v>660000</v>
      </c>
      <c r="E12" s="2" t="n">
        <f aca="false">Overhead!$C$24</f>
        <v>660000</v>
      </c>
      <c r="F12" s="2" t="n">
        <f aca="false">D12/Inputs!$D$4</f>
        <v>5081.22257294634</v>
      </c>
    </row>
    <row r="13" customFormat="false" ht="15" hidden="false" customHeight="false" outlineLevel="0" collapsed="false">
      <c r="A13" s="0" t="s">
        <v>874</v>
      </c>
      <c r="B13" s="0" t="s">
        <v>26</v>
      </c>
      <c r="C13" s="2" t="n">
        <f aca="false">Inputs!C299/Inputs!C301</f>
        <v>112500</v>
      </c>
      <c r="D13" s="2" t="n">
        <f aca="false">Inputs!D299/Inputs!D301</f>
        <v>112500</v>
      </c>
      <c r="E13" s="2" t="n">
        <f aca="false">Inputs!E299/Inputs!E301</f>
        <v>112500</v>
      </c>
      <c r="F13" s="2" t="n">
        <f aca="false">D13/Inputs!$D$4</f>
        <v>866.117484024944</v>
      </c>
    </row>
    <row r="14" customFormat="false" ht="15" hidden="false" customHeight="false" outlineLevel="0" collapsed="false">
      <c r="A14" s="1" t="s">
        <v>875</v>
      </c>
      <c r="B14" s="6" t="s">
        <v>26</v>
      </c>
      <c r="C14" s="7" t="n">
        <f aca="false">C4-C11-C12-C10*Inputs!C8-C13-C8+C7</f>
        <v>-7183852.08554563</v>
      </c>
      <c r="D14" s="7" t="n">
        <f aca="false">D4-D11-D12-D10*Inputs!D8-D13-D8+D7</f>
        <v>-3723888.9741891</v>
      </c>
      <c r="E14" s="7" t="n">
        <f aca="false">E4-E11-E12-E10*Inputs!E8-E13-E8+E7</f>
        <v>-243146.169058027</v>
      </c>
      <c r="F14" s="2" t="n">
        <f aca="false">D14/Inputs!$D$4</f>
        <v>-28669.5586587812</v>
      </c>
    </row>
    <row r="15" customFormat="false" ht="15" hidden="false" customHeight="false" outlineLevel="0" collapsed="false">
      <c r="A15" s="4" t="s">
        <v>876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0" t="s">
        <v>877</v>
      </c>
      <c r="B16" s="0" t="s">
        <v>528</v>
      </c>
      <c r="C16" s="2" t="n">
        <f aca="false">Inputs!C293*52+Inputs!C294*Inputs!C295+Inputs!C297*52</f>
        <v>1000</v>
      </c>
      <c r="D16" s="2" t="n">
        <f aca="false">Inputs!D293*52+Inputs!D294*Inputs!D295+Inputs!D297*52</f>
        <v>556</v>
      </c>
      <c r="E16" s="2" t="n">
        <f aca="false">Inputs!E293*52+Inputs!E294*Inputs!E295+Inputs!E297*52</f>
        <v>346</v>
      </c>
    </row>
    <row r="17" customFormat="false" ht="15" hidden="false" customHeight="false" outlineLevel="0" collapsed="false">
      <c r="A17" s="0" t="s">
        <v>878</v>
      </c>
      <c r="B17" s="0" t="s">
        <v>26</v>
      </c>
      <c r="C17" s="2" t="n">
        <f aca="false">Overhead!$D$17</f>
        <v>188000</v>
      </c>
      <c r="D17" s="2" t="n">
        <f aca="false">Overhead!$D$17</f>
        <v>188000</v>
      </c>
      <c r="E17" s="2" t="n">
        <f aca="false">Overhead!$D$17</f>
        <v>188000</v>
      </c>
      <c r="F17" s="2" t="n">
        <f aca="false">D17/Inputs!$D$4</f>
        <v>1447.37855108168</v>
      </c>
    </row>
    <row r="18" customFormat="false" ht="15" hidden="false" customHeight="false" outlineLevel="0" collapsed="false">
      <c r="A18" s="0" t="s">
        <v>879</v>
      </c>
      <c r="B18" s="0" t="s">
        <v>26</v>
      </c>
      <c r="C18" s="2" t="n">
        <f aca="false">Overhead!$D$24</f>
        <v>72000</v>
      </c>
      <c r="D18" s="2" t="n">
        <f aca="false">Overhead!$D$24</f>
        <v>72000</v>
      </c>
      <c r="E18" s="2" t="n">
        <f aca="false">Overhead!$D$24</f>
        <v>72000</v>
      </c>
      <c r="F18" s="2" t="n">
        <f aca="false">D18/Inputs!$D$4</f>
        <v>554.315189775964</v>
      </c>
    </row>
    <row r="19" customFormat="false" ht="15" hidden="false" customHeight="false" outlineLevel="0" collapsed="false">
      <c r="A19" s="0" t="s">
        <v>880</v>
      </c>
      <c r="B19" s="0" t="s">
        <v>26</v>
      </c>
      <c r="C19" s="2" t="n">
        <f aca="false">Inputs!C294*Inputs!C296</f>
        <v>240000</v>
      </c>
      <c r="D19" s="2" t="n">
        <f aca="false">Inputs!D294*Inputs!D296</f>
        <v>96000</v>
      </c>
      <c r="E19" s="2" t="n">
        <f aca="false">Inputs!E294*Inputs!E296</f>
        <v>48000</v>
      </c>
      <c r="F19" s="2" t="n">
        <f aca="false">D19/Inputs!$D$4</f>
        <v>739.086919701286</v>
      </c>
    </row>
    <row r="20" customFormat="false" ht="15" hidden="false" customHeight="false" outlineLevel="0" collapsed="false">
      <c r="A20" s="0" t="s">
        <v>874</v>
      </c>
      <c r="B20" s="0" t="s">
        <v>26</v>
      </c>
      <c r="C20" s="2" t="n">
        <f aca="false">Inputs!C300/Inputs!C301</f>
        <v>15000</v>
      </c>
      <c r="D20" s="2" t="n">
        <f aca="false">Inputs!D300/Inputs!D301</f>
        <v>15000</v>
      </c>
      <c r="E20" s="2" t="n">
        <f aca="false">Inputs!E300/Inputs!E301</f>
        <v>15000</v>
      </c>
      <c r="F20" s="2" t="n">
        <f aca="false">D20/Inputs!$D$4</f>
        <v>115.482331203326</v>
      </c>
    </row>
    <row r="21" customFormat="false" ht="15" hidden="false" customHeight="false" outlineLevel="0" collapsed="false">
      <c r="A21" s="1" t="s">
        <v>881</v>
      </c>
      <c r="B21" s="6" t="s">
        <v>26</v>
      </c>
      <c r="C21" s="7" t="n">
        <f aca="false">C4-C17-C18-C19-C16*Inputs!C8-C20-C8+C7</f>
        <v>-6152352.08554563</v>
      </c>
      <c r="D21" s="7" t="n">
        <f aca="false">D4-D17-D18-D19-D16*Inputs!D8-D20-D8+D7</f>
        <v>-2378188.9741891</v>
      </c>
      <c r="E21" s="7" t="n">
        <f aca="false">E4-E17-E18-E19-E16*Inputs!E8-E20-E8+E7</f>
        <v>1196353.83094197</v>
      </c>
      <c r="F21" s="2" t="n">
        <f aca="false">D21/Inputs!$D$4</f>
        <v>-18309.2537854269</v>
      </c>
    </row>
    <row r="22" customFormat="false" ht="15" hidden="false" customHeight="false" outlineLevel="0" collapsed="false">
      <c r="A22" s="4" t="s">
        <v>882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0" t="s">
        <v>883</v>
      </c>
      <c r="B23" s="0" t="s">
        <v>26</v>
      </c>
      <c r="C23" s="2" t="n">
        <f aca="false">Farm_PnL!C48</f>
        <v>-3296893.59373016</v>
      </c>
      <c r="D23" s="2" t="n">
        <f aca="false">Farm_PnL!D48</f>
        <v>-583375.18757764</v>
      </c>
      <c r="E23" s="2" t="n">
        <f aca="false">Farm_PnL!E48</f>
        <v>2281734.8384924</v>
      </c>
      <c r="F23" s="2" t="n">
        <f aca="false">D23/Inputs!$D$4</f>
        <v>-4491.30177517622</v>
      </c>
    </row>
    <row r="24" customFormat="false" ht="15" hidden="false" customHeight="false" outlineLevel="0" collapsed="false">
      <c r="A24" s="0" t="s">
        <v>884</v>
      </c>
      <c r="B24" s="0" t="s">
        <v>26</v>
      </c>
      <c r="C24" s="2" t="n">
        <f aca="false">Inputs!C7*Farm_PnL!C64</f>
        <v>330983.491815476</v>
      </c>
      <c r="D24" s="2" t="n">
        <f aca="false">Inputs!D7*Farm_PnL!D64</f>
        <v>242580.453278123</v>
      </c>
      <c r="E24" s="2" t="n">
        <f aca="false">Inputs!E7*Farm_PnL!E64</f>
        <v>171258.280277701</v>
      </c>
      <c r="F24" s="2" t="n">
        <f aca="false">D24/Inputs!$D$4</f>
        <v>1867.58374992781</v>
      </c>
    </row>
    <row r="25" customFormat="false" ht="15" hidden="false" customHeight="false" outlineLevel="0" collapsed="false">
      <c r="A25" s="0" t="s">
        <v>885</v>
      </c>
      <c r="B25" s="0" t="s">
        <v>26</v>
      </c>
      <c r="C25" s="2" t="n">
        <f aca="false">Lorry!C40</f>
        <v>85500</v>
      </c>
      <c r="D25" s="2" t="n">
        <f aca="false">Lorry!D40</f>
        <v>85500</v>
      </c>
      <c r="E25" s="2" t="n">
        <f aca="false">Lorry!E40</f>
        <v>85500</v>
      </c>
      <c r="F25" s="2" t="n">
        <f aca="false">D25/Inputs!$D$4</f>
        <v>658.249287858958</v>
      </c>
    </row>
    <row r="26" customFormat="false" ht="15" hidden="false" customHeight="false" outlineLevel="0" collapsed="false">
      <c r="A26" s="1" t="s">
        <v>886</v>
      </c>
      <c r="B26" s="6" t="s">
        <v>26</v>
      </c>
      <c r="C26" s="7" t="n">
        <f aca="false">C23-C17-C18-C19-C16*Inputs!C8-C20-C24+C7+C25</f>
        <v>-4457377.08554563</v>
      </c>
      <c r="D26" s="7" t="n">
        <f aca="false">D23-D17-D18-D19-D16*Inputs!D8-D20-D24+D7+D25</f>
        <v>-1163255.64085576</v>
      </c>
      <c r="E26" s="7" t="n">
        <f aca="false">E23-E17-E18-E19-E16*Inputs!E8-E20-E24+E7+E25</f>
        <v>2108476.5582147</v>
      </c>
      <c r="F26" s="2" t="n">
        <f aca="false">D26/Inputs!$D$4</f>
        <v>-8955.69821276282</v>
      </c>
    </row>
    <row r="27" customFormat="false" ht="15" hidden="false" customHeight="false" outlineLevel="0" collapsed="false">
      <c r="A27" s="4" t="s">
        <v>887</v>
      </c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0" t="s">
        <v>888</v>
      </c>
      <c r="B28" s="0" t="s">
        <v>26</v>
      </c>
      <c r="C28" s="2" t="n">
        <f aca="false">Inputs!C11*Inputs!C304</f>
        <v>138000</v>
      </c>
      <c r="D28" s="2" t="n">
        <f aca="false">Inputs!D11*Inputs!D304</f>
        <v>184000</v>
      </c>
      <c r="E28" s="2" t="n">
        <f aca="false">Inputs!E11*Inputs!E304</f>
        <v>230000</v>
      </c>
      <c r="F28" s="2" t="n">
        <f aca="false">D28/Inputs!$D$4</f>
        <v>1416.5832627608</v>
      </c>
    </row>
    <row r="29" customFormat="false" ht="15" hidden="false" customHeight="false" outlineLevel="0" collapsed="false">
      <c r="A29" s="0" t="s">
        <v>889</v>
      </c>
      <c r="B29" s="0" t="s">
        <v>26</v>
      </c>
      <c r="C29" s="2" t="n">
        <f aca="false">(Farm_PnL!C41+Inputs!C273)*(1-Inputs!C9)</f>
        <v>6360250</v>
      </c>
      <c r="D29" s="2" t="n">
        <f aca="false">(Farm_PnL!D41+Inputs!D273)*(1-Inputs!D9)</f>
        <v>6360250</v>
      </c>
      <c r="E29" s="2" t="n">
        <f aca="false">(Farm_PnL!E41+Inputs!E273)*(1-Inputs!E9)</f>
        <v>6360250</v>
      </c>
      <c r="F29" s="2" t="n">
        <f aca="false">D29/Inputs!$D$4</f>
        <v>48966.4331357302</v>
      </c>
    </row>
    <row r="30" customFormat="false" ht="15" hidden="false" customHeight="false" outlineLevel="0" collapsed="false">
      <c r="A30" s="0" t="s">
        <v>890</v>
      </c>
      <c r="B30" s="0" t="s">
        <v>26</v>
      </c>
      <c r="C30" s="2" t="n">
        <f aca="false">C29*Inputs!C5</f>
        <v>127205</v>
      </c>
      <c r="D30" s="2" t="n">
        <f aca="false">D29*Inputs!D5</f>
        <v>127205</v>
      </c>
      <c r="E30" s="2" t="n">
        <f aca="false">E29*Inputs!E5</f>
        <v>127205</v>
      </c>
      <c r="F30" s="2" t="n">
        <f aca="false">D30/Inputs!$D$4</f>
        <v>979.328662714605</v>
      </c>
    </row>
    <row r="31" customFormat="false" ht="15" hidden="false" customHeight="false" outlineLevel="0" collapsed="false">
      <c r="A31" s="0" t="s">
        <v>871</v>
      </c>
      <c r="B31" s="0" t="s">
        <v>528</v>
      </c>
      <c r="C31" s="2" t="n">
        <f aca="false">Inputs!C298</f>
        <v>40</v>
      </c>
      <c r="D31" s="2" t="n">
        <f aca="false">Inputs!D298</f>
        <v>30</v>
      </c>
      <c r="E31" s="2" t="n">
        <f aca="false">Inputs!E298</f>
        <v>20</v>
      </c>
    </row>
    <row r="32" customFormat="false" ht="15" hidden="false" customHeight="false" outlineLevel="0" collapsed="false">
      <c r="A32" s="0" t="s">
        <v>891</v>
      </c>
      <c r="B32" s="0" t="s">
        <v>26</v>
      </c>
      <c r="C32" s="2" t="n">
        <f aca="false">(Inputs!C302+(Farm_PnL!C41+Inputs!C273)*Inputs!C9+Labour!C20*Inputs!C303)/Inputs!C301</f>
        <v>128437.5</v>
      </c>
      <c r="D32" s="2" t="n">
        <f aca="false">(Inputs!D302+(Farm_PnL!D41+Inputs!D273)*Inputs!D9+Labour!D20*Inputs!D303)/Inputs!D301</f>
        <v>128437.5</v>
      </c>
      <c r="E32" s="2" t="n">
        <f aca="false">(Inputs!E302+(Farm_PnL!E41+Inputs!E273)*Inputs!E9+Labour!E20*Inputs!E303)/Inputs!E301</f>
        <v>128437.5</v>
      </c>
      <c r="F32" s="2" t="n">
        <f aca="false">D32/Inputs!$D$4</f>
        <v>988.817460928478</v>
      </c>
    </row>
    <row r="33" customFormat="false" ht="15" hidden="false" customHeight="false" outlineLevel="0" collapsed="false">
      <c r="A33" s="1" t="s">
        <v>892</v>
      </c>
      <c r="B33" s="6" t="s">
        <v>26</v>
      </c>
      <c r="C33" s="7" t="n">
        <f aca="false">C28+C30-Inputs!C305-C31*Inputs!C8-C32+C7</f>
        <v>100767.5</v>
      </c>
      <c r="D33" s="7" t="n">
        <f aca="false">D28+D30-Inputs!D305-D31*Inputs!D8-D32+D7</f>
        <v>268767.5</v>
      </c>
      <c r="E33" s="7" t="n">
        <f aca="false">E28+E30-Inputs!E305-E31*Inputs!E8-E32+E7</f>
        <v>525767.5</v>
      </c>
      <c r="F33" s="2" t="n">
        <f aca="false">D33/Inputs!$D$4</f>
        <v>2069.19316344599</v>
      </c>
    </row>
    <row r="34" customFormat="false" ht="15" hidden="false" customHeight="false" outlineLevel="0" collapsed="false">
      <c r="A34" s="4" t="s">
        <v>893</v>
      </c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0" t="s">
        <v>894</v>
      </c>
      <c r="B35" s="0" t="s">
        <v>26</v>
      </c>
      <c r="C35" s="2" t="n">
        <f aca="false">Farm_PnL!C66*(1-Inputs!C9)</f>
        <v>15907750</v>
      </c>
      <c r="D35" s="2" t="n">
        <f aca="false">Farm_PnL!D66*(1-Inputs!D9)</f>
        <v>19185250</v>
      </c>
      <c r="E35" s="2" t="n">
        <f aca="false">Farm_PnL!E66*(1-Inputs!E9)</f>
        <v>23555250</v>
      </c>
      <c r="F35" s="2" t="n">
        <f aca="false">D35/Inputs!$D$4</f>
        <v>147703.826314574</v>
      </c>
    </row>
    <row r="36" customFormat="false" ht="15" hidden="false" customHeight="false" outlineLevel="0" collapsed="false">
      <c r="A36" s="1" t="s">
        <v>895</v>
      </c>
      <c r="B36" s="6" t="s">
        <v>26</v>
      </c>
      <c r="C36" s="7" t="n">
        <f aca="false">C35*Inputs!C5</f>
        <v>318155</v>
      </c>
      <c r="D36" s="7" t="n">
        <f aca="false">D35*Inputs!D5</f>
        <v>383705</v>
      </c>
      <c r="E36" s="7" t="n">
        <f aca="false">E35*Inputs!E5</f>
        <v>471105</v>
      </c>
      <c r="F36" s="2" t="n">
        <f aca="false">D36/Inputs!$D$4</f>
        <v>2954.07652629148</v>
      </c>
    </row>
    <row r="37" customFormat="false" ht="15" hidden="false" customHeight="false" outlineLevel="0" collapsed="false">
      <c r="A37" s="4" t="s">
        <v>896</v>
      </c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0" t="s">
        <v>897</v>
      </c>
      <c r="B38" s="0" t="s">
        <v>26</v>
      </c>
      <c r="C38" s="2" t="n">
        <f aca="false">C4-0.2*C5</f>
        <v>-5331235.79373016</v>
      </c>
      <c r="D38" s="2" t="n">
        <f aca="false">D4-0.2*D5</f>
        <v>-2503634.52091097</v>
      </c>
      <c r="E38" s="2" t="n">
        <f aca="false">E4-0.2*E5</f>
        <v>190859.551219674</v>
      </c>
      <c r="F38" s="2" t="n">
        <f aca="false">D38/Inputs!$D$4</f>
        <v>-19275.0367303947</v>
      </c>
    </row>
    <row r="39" customFormat="false" ht="15" hidden="false" customHeight="false" outlineLevel="0" collapsed="false">
      <c r="A39" s="0" t="s">
        <v>898</v>
      </c>
      <c r="B39" s="0" t="s">
        <v>26</v>
      </c>
      <c r="C39" s="2" t="n">
        <f aca="false">C4-0.25*Farm_PnL!C31</f>
        <v>-5934254.8984127</v>
      </c>
      <c r="D39" s="2" t="n">
        <f aca="false">D4-0.25*Farm_PnL!D31</f>
        <v>-2541634.81780538</v>
      </c>
      <c r="E39" s="2" t="n">
        <f aca="false">E4-0.25*Farm_PnL!E31</f>
        <v>738905.120842774</v>
      </c>
      <c r="F39" s="2" t="n">
        <f aca="false">D39/Inputs!$D$4</f>
        <v>-19567.5942551804</v>
      </c>
    </row>
    <row r="40" customFormat="false" ht="15" hidden="false" customHeight="false" outlineLevel="0" collapsed="false">
      <c r="A40" s="0" t="s">
        <v>899</v>
      </c>
      <c r="B40" s="0" t="s">
        <v>26</v>
      </c>
      <c r="C40" s="2" t="n">
        <f aca="false">C4-0.1*C5-0.1*Farm_PnL!C41</f>
        <v>-5225802.19373016</v>
      </c>
      <c r="D40" s="2" t="n">
        <f aca="false">D4-0.1*D5-0.1*Farm_PnL!D41</f>
        <v>-2237721.52091097</v>
      </c>
      <c r="E40" s="2" t="n">
        <f aca="false">E4-0.1*E5-0.1*Farm_PnL!E41</f>
        <v>670985.831219674</v>
      </c>
      <c r="F40" s="2" t="n">
        <f aca="false">D40/Inputs!$D$4</f>
        <v>-17227.8198545767</v>
      </c>
    </row>
    <row r="41" customFormat="false" ht="15" hidden="false" customHeight="false" outlineLevel="0" collapsed="false">
      <c r="A41" s="1" t="s">
        <v>900</v>
      </c>
      <c r="B41" s="6" t="s">
        <v>26</v>
      </c>
      <c r="C41" s="7" t="n">
        <f aca="false">MIN(C38,C39,C40)</f>
        <v>-5934254.8984127</v>
      </c>
      <c r="D41" s="7" t="n">
        <f aca="false">MIN(D38,D39,D40)</f>
        <v>-2541634.81780538</v>
      </c>
      <c r="E41" s="7" t="n">
        <f aca="false">MIN(E38,E39,E40)</f>
        <v>190859.551219674</v>
      </c>
      <c r="F41" s="2" t="n">
        <f aca="false">D41/Inputs!$D$4</f>
        <v>-19567.5942551804</v>
      </c>
    </row>
    <row r="42" customFormat="false" ht="15" hidden="false" customHeight="false" outlineLevel="0" collapsed="false">
      <c r="A42" s="0" t="s">
        <v>901</v>
      </c>
      <c r="B42" s="0" t="s">
        <v>26</v>
      </c>
      <c r="C42" s="2" t="n">
        <f aca="false">-0.1*C6</f>
        <v>-1111966.98363095</v>
      </c>
      <c r="D42" s="2" t="n">
        <f aca="false">-0.1*D6</f>
        <v>-1056451.13319531</v>
      </c>
      <c r="E42" s="2" t="n">
        <f aca="false">-0.1*E6</f>
        <v>-1020860.934259</v>
      </c>
      <c r="F42" s="2" t="n">
        <f aca="false">D42/Inputs!$D$4</f>
        <v>-8133.4293109193</v>
      </c>
    </row>
    <row r="43" customFormat="false" ht="15" hidden="false" customHeight="false" outlineLevel="0" collapsed="false">
      <c r="A43" s="0" t="s">
        <v>902</v>
      </c>
      <c r="B43" s="0" t="s">
        <v>26</v>
      </c>
      <c r="C43" s="2" t="n">
        <f aca="false">-0.1*Farm_PnL!C64</f>
        <v>-661966.983630952</v>
      </c>
      <c r="D43" s="2" t="n">
        <f aca="false">-0.1*Farm_PnL!D64</f>
        <v>-606451.133195307</v>
      </c>
      <c r="E43" s="2" t="n">
        <f aca="false">-0.1*Farm_PnL!E64</f>
        <v>-570860.934259003</v>
      </c>
      <c r="F43" s="2" t="n">
        <f aca="false">D43/Inputs!$D$4</f>
        <v>-4668.95937481952</v>
      </c>
    </row>
    <row r="44" customFormat="false" ht="15" hidden="false" customHeight="false" outlineLevel="0" collapsed="false">
      <c r="A44" s="0" t="s">
        <v>903</v>
      </c>
      <c r="B44" s="0" t="s">
        <v>26</v>
      </c>
      <c r="C44" s="2" t="n">
        <f aca="false">Farm_PnL!C40+Lorry!C5</f>
        <v>621875</v>
      </c>
      <c r="D44" s="2" t="n">
        <f aca="false">Farm_PnL!D40+Lorry!D5</f>
        <v>537500</v>
      </c>
      <c r="E44" s="2" t="n">
        <f aca="false">Farm_PnL!E40+Lorry!E5</f>
        <v>481250</v>
      </c>
      <c r="F44" s="2" t="n">
        <f aca="false">D44/Inputs!$D$4</f>
        <v>4138.11686811918</v>
      </c>
    </row>
    <row r="45" customFormat="false" ht="15" hidden="false" customHeight="false" outlineLevel="0" collapsed="false">
      <c r="A45" s="0" t="s">
        <v>904</v>
      </c>
      <c r="B45" s="0" t="s">
        <v>26</v>
      </c>
      <c r="C45" s="2" t="n">
        <f aca="false">C41+C44-C11-C12</f>
        <v>-6966379.8984127</v>
      </c>
      <c r="D45" s="2" t="n">
        <f aca="false">D41+D44-D11-D12</f>
        <v>-3658134.81780538</v>
      </c>
      <c r="E45" s="2" t="n">
        <f aca="false">E41+E44-E11-E12</f>
        <v>-981890.448780326</v>
      </c>
      <c r="F45" s="2" t="n">
        <f aca="false">D45/Inputs!$D$4</f>
        <v>-28163.329107748</v>
      </c>
    </row>
    <row r="46" customFormat="false" ht="15" hidden="false" customHeight="false" outlineLevel="0" collapsed="false">
      <c r="A46" s="0" t="s">
        <v>905</v>
      </c>
      <c r="B46" s="0" t="s">
        <v>26</v>
      </c>
      <c r="C46" s="2" t="n">
        <f aca="false">C41+C44-C17-C18-C19</f>
        <v>-5812379.8984127</v>
      </c>
      <c r="D46" s="2" t="n">
        <f aca="false">D41+D44-D17-D18-D19</f>
        <v>-2360134.81780538</v>
      </c>
      <c r="E46" s="2" t="n">
        <f aca="false">E41+E44-E17-E18-E19</f>
        <v>364109.551219674</v>
      </c>
      <c r="F46" s="2" t="n">
        <f aca="false">D46/Inputs!$D$4</f>
        <v>-18170.2580476202</v>
      </c>
    </row>
    <row r="47" customFormat="false" ht="15" hidden="false" customHeight="false" outlineLevel="0" collapsed="false">
      <c r="A47" s="0" t="s">
        <v>906</v>
      </c>
      <c r="B47" s="0" t="s">
        <v>26</v>
      </c>
      <c r="C47" s="2" t="n">
        <f aca="false">C41+Lorry!C24+Farm_PnL!C40-C17-C18-C19</f>
        <v>-4849779.8984127</v>
      </c>
      <c r="D47" s="2" t="n">
        <f aca="false">D41+Lorry!D24+Farm_PnL!D40-D17-D18-D19</f>
        <v>-1748201.48447205</v>
      </c>
      <c r="E47" s="2" t="n">
        <f aca="false">E41+Lorry!E24+Farm_PnL!E40-E17-E18-E19</f>
        <v>774482.278492401</v>
      </c>
      <c r="F47" s="2" t="n">
        <f aca="false">D47/Inputs!$D$4</f>
        <v>-13459.0921893298</v>
      </c>
    </row>
    <row r="48" customFormat="false" ht="15" hidden="false" customHeight="false" outlineLevel="0" collapsed="false">
      <c r="A48" s="0" t="s">
        <v>907</v>
      </c>
      <c r="B48" s="0" t="s">
        <v>26</v>
      </c>
      <c r="C48" s="2" t="n">
        <f aca="false">C41-C17-C18-C19</f>
        <v>-6434254.8984127</v>
      </c>
      <c r="D48" s="2" t="n">
        <f aca="false">D41-D17-D18-D19</f>
        <v>-2897634.81780538</v>
      </c>
      <c r="E48" s="2" t="n">
        <f aca="false">E41-E17-E18-E19</f>
        <v>-117140.448780326</v>
      </c>
      <c r="F48" s="2" t="n">
        <f aca="false">D48/Inputs!$D$4</f>
        <v>-22308.3749157393</v>
      </c>
    </row>
    <row r="49" customFormat="false" ht="15" hidden="false" customHeight="false" outlineLevel="0" collapsed="false">
      <c r="A49" s="0" t="s">
        <v>908</v>
      </c>
      <c r="B49" s="0" t="s">
        <v>97</v>
      </c>
      <c r="C49" s="11" t="n">
        <f aca="false">IF(C45&gt;=C42,1,0)</f>
        <v>0</v>
      </c>
      <c r="D49" s="11" t="n">
        <f aca="false">IF(D45&gt;=D42,1,0)</f>
        <v>0</v>
      </c>
      <c r="E49" s="11" t="n">
        <f aca="false">IF(E45&gt;=E42,1,0)</f>
        <v>1</v>
      </c>
    </row>
    <row r="50" customFormat="false" ht="15" hidden="false" customHeight="false" outlineLevel="0" collapsed="false">
      <c r="A50" s="0" t="s">
        <v>909</v>
      </c>
      <c r="B50" s="0" t="s">
        <v>97</v>
      </c>
      <c r="C50" s="11" t="n">
        <f aca="false">IF(C46&gt;=C42,1,0)</f>
        <v>0</v>
      </c>
      <c r="D50" s="11" t="n">
        <f aca="false">IF(D46&gt;=D42,1,0)</f>
        <v>0</v>
      </c>
      <c r="E50" s="11" t="n">
        <f aca="false">IF(E46&gt;=E42,1,0)</f>
        <v>1</v>
      </c>
    </row>
    <row r="51" customFormat="false" ht="15" hidden="false" customHeight="false" outlineLevel="0" collapsed="false">
      <c r="A51" s="0" t="s">
        <v>910</v>
      </c>
      <c r="B51" s="0" t="s">
        <v>97</v>
      </c>
      <c r="C51" s="11" t="n">
        <f aca="false">IF(C47&gt;=C43,1,0)</f>
        <v>0</v>
      </c>
      <c r="D51" s="11" t="n">
        <f aca="false">IF(D47&gt;=D43,1,0)</f>
        <v>0</v>
      </c>
      <c r="E51" s="11" t="n">
        <f aca="false">IF(E47&gt;=E43,1,0)</f>
        <v>1</v>
      </c>
    </row>
    <row r="52" customFormat="false" ht="15" hidden="false" customHeight="false" outlineLevel="0" collapsed="false">
      <c r="A52" s="0" t="s">
        <v>911</v>
      </c>
      <c r="B52" s="0" t="s">
        <v>97</v>
      </c>
      <c r="C52" s="11" t="n">
        <f aca="false">IF(C48&gt;=C42,1,0)</f>
        <v>0</v>
      </c>
      <c r="D52" s="11" t="n">
        <f aca="false">IF(D48&gt;=D42,1,0)</f>
        <v>0</v>
      </c>
      <c r="E52" s="11" t="n">
        <f aca="false">IF(E48&gt;=E42,1,0)</f>
        <v>1</v>
      </c>
    </row>
    <row r="53" customFormat="false" ht="15" hidden="false" customHeight="false" outlineLevel="0" collapsed="false">
      <c r="A53" s="4" t="s">
        <v>912</v>
      </c>
      <c r="B53" s="5"/>
      <c r="C53" s="5"/>
      <c r="D53" s="5"/>
      <c r="E53" s="5"/>
      <c r="F53" s="5"/>
      <c r="G53" s="5"/>
    </row>
    <row r="54" customFormat="false" ht="15" hidden="false" customHeight="false" outlineLevel="0" collapsed="false">
      <c r="A54" s="0" t="s">
        <v>913</v>
      </c>
      <c r="B54" s="0" t="s">
        <v>26</v>
      </c>
      <c r="C54" s="2" t="n">
        <f aca="false">IF(AND(C14&gt;0,C49=1),C14,-1000000000000)</f>
        <v>-1000000000000</v>
      </c>
      <c r="D54" s="2" t="n">
        <f aca="false">IF(AND(D14&gt;0,D49=1),D14,-1000000000000)</f>
        <v>-1000000000000</v>
      </c>
      <c r="E54" s="2" t="n">
        <f aca="false">IF(AND(E14&gt;0,E49=1),E14,-1000000000000)</f>
        <v>-1000000000000</v>
      </c>
      <c r="F54" s="2" t="n">
        <f aca="false">D54/Inputs!$D$4</f>
        <v>-7698822080.22173</v>
      </c>
    </row>
    <row r="55" customFormat="false" ht="15" hidden="false" customHeight="false" outlineLevel="0" collapsed="false">
      <c r="A55" s="0" t="s">
        <v>914</v>
      </c>
      <c r="B55" s="0" t="s">
        <v>26</v>
      </c>
      <c r="C55" s="2" t="n">
        <f aca="false">IF(AND(C21&gt;0,C50=1),C21,-1000000000000)</f>
        <v>-1000000000000</v>
      </c>
      <c r="D55" s="2" t="n">
        <f aca="false">IF(AND(D21&gt;0,D50=1),D21,-1000000000000)</f>
        <v>-1000000000000</v>
      </c>
      <c r="E55" s="2" t="n">
        <f aca="false">IF(AND(E21&gt;0,E50=1),E21,-1000000000000)</f>
        <v>1196353.83094197</v>
      </c>
      <c r="F55" s="2" t="n">
        <f aca="false">D55/Inputs!$D$4</f>
        <v>-7698822080.22173</v>
      </c>
    </row>
    <row r="56" customFormat="false" ht="15" hidden="false" customHeight="false" outlineLevel="0" collapsed="false">
      <c r="A56" s="0" t="s">
        <v>915</v>
      </c>
      <c r="B56" s="0" t="s">
        <v>26</v>
      </c>
      <c r="C56" s="2" t="n">
        <f aca="false">IF(AND(C26&gt;0,C51=1),C26,-1000000000000)</f>
        <v>-1000000000000</v>
      </c>
      <c r="D56" s="2" t="n">
        <f aca="false">IF(AND(D26&gt;0,D51=1),D26,-1000000000000)</f>
        <v>-1000000000000</v>
      </c>
      <c r="E56" s="2" t="n">
        <f aca="false">IF(AND(E26&gt;0,E51=1),E26,-1000000000000)</f>
        <v>2108476.5582147</v>
      </c>
      <c r="F56" s="2" t="n">
        <f aca="false">D56/Inputs!$D$4</f>
        <v>-7698822080.22173</v>
      </c>
    </row>
    <row r="57" customFormat="false" ht="15" hidden="false" customHeight="false" outlineLevel="0" collapsed="false">
      <c r="A57" s="0" t="s">
        <v>916</v>
      </c>
      <c r="B57" s="0" t="s">
        <v>26</v>
      </c>
      <c r="C57" s="2" t="n">
        <f aca="false">IF(C33&gt;0,C33,-1000000000000)</f>
        <v>100767.5</v>
      </c>
      <c r="D57" s="2" t="n">
        <f aca="false">IF(D33&gt;0,D33,-1000000000000)</f>
        <v>268767.5</v>
      </c>
      <c r="E57" s="2" t="n">
        <f aca="false">IF(E33&gt;0,E33,-1000000000000)</f>
        <v>525767.5</v>
      </c>
      <c r="F57" s="2" t="n">
        <f aca="false">D57/Inputs!$D$4</f>
        <v>2069.19316344599</v>
      </c>
    </row>
    <row r="58" customFormat="false" ht="15" hidden="false" customHeight="false" outlineLevel="0" collapsed="false">
      <c r="A58" s="0" t="s">
        <v>917</v>
      </c>
      <c r="B58" s="0" t="s">
        <v>26</v>
      </c>
      <c r="C58" s="2" t="n">
        <f aca="false">IF(C36&gt;0,C36,-1000000000000)</f>
        <v>318155</v>
      </c>
      <c r="D58" s="2" t="n">
        <f aca="false">IF(D36&gt;0,D36,-1000000000000)</f>
        <v>383705</v>
      </c>
      <c r="E58" s="2" t="n">
        <f aca="false">IF(E36&gt;0,E36,-1000000000000)</f>
        <v>471105</v>
      </c>
      <c r="F58" s="2" t="n">
        <f aca="false">D58/Inputs!$D$4</f>
        <v>2954.07652629148</v>
      </c>
    </row>
    <row r="59" customFormat="false" ht="15" hidden="false" customHeight="false" outlineLevel="0" collapsed="false">
      <c r="A59" s="0" t="s">
        <v>918</v>
      </c>
      <c r="B59" s="0" t="s">
        <v>26</v>
      </c>
      <c r="C59" s="2" t="n">
        <f aca="false">MAX(C54,C55,C56,C57,C58)</f>
        <v>318155</v>
      </c>
      <c r="D59" s="2" t="n">
        <f aca="false">MAX(D54,D55,D56,D57,D58)</f>
        <v>383705</v>
      </c>
      <c r="E59" s="2" t="n">
        <f aca="false">MAX(E54,E55,E56,E57,E58)</f>
        <v>2108476.5582147</v>
      </c>
      <c r="F59" s="2" t="n">
        <f aca="false">D59/Inputs!$D$4</f>
        <v>2954.07652629148</v>
      </c>
    </row>
    <row r="60" customFormat="false" ht="15" hidden="false" customHeight="false" outlineLevel="0" collapsed="false">
      <c r="A60" s="1" t="s">
        <v>919</v>
      </c>
      <c r="B60" s="6" t="s">
        <v>91</v>
      </c>
      <c r="C60" s="1" t="str">
        <f aca="false">IF(C59&lt;=0,"No viable option",IF(C54=C59,"Self-run (PLAN generic)",IF(C55=C59,"Owner-operator, lorry kept",IF(C56=C59,"Owner-operator, sell lorry",IF(C57=C59,"Lease","Sale (conditional exit)")))))</f>
        <v>Sale (conditional exit)</v>
      </c>
      <c r="D60" s="1" t="str">
        <f aca="false">IF(D59&lt;=0,"No viable option",IF(D54=D59,"Self-run (PLAN generic)",IF(D55=D59,"Owner-operator, lorry kept",IF(D56=D59,"Owner-operator, sell lorry",IF(D57=D59,"Lease","Sale (conditional exit)")))))</f>
        <v>Sale (conditional exit)</v>
      </c>
      <c r="E60" s="1" t="str">
        <f aca="false">IF(E59&lt;=0,"No viable option",IF(E54=E59,"Self-run (PLAN generic)",IF(E55=E59,"Owner-operator, lorry kept",IF(E56=E59,"Owner-operator, sell lorry",IF(E57=E59,"Lease","Sale (conditional exit)")))))</f>
        <v>Owner-operator, sell lorry</v>
      </c>
    </row>
    <row r="61" customFormat="false" ht="15" hidden="false" customHeight="false" outlineLevel="0" collapsed="false">
      <c r="A61" s="4" t="s">
        <v>920</v>
      </c>
      <c r="B61" s="5"/>
      <c r="C61" s="5"/>
      <c r="D61" s="5"/>
      <c r="E61" s="5"/>
      <c r="F61" s="5"/>
      <c r="G61" s="5"/>
    </row>
    <row r="62" customFormat="false" ht="15" hidden="false" customHeight="false" outlineLevel="0" collapsed="false">
      <c r="A62" s="0" t="s">
        <v>921</v>
      </c>
      <c r="B62" s="0" t="s">
        <v>26</v>
      </c>
      <c r="C62" s="2" t="n">
        <f aca="false">IF(AND(C33&gt;0,Inputs!C18=1),C33,-1000000000000)</f>
        <v>-1000000000000</v>
      </c>
      <c r="D62" s="2" t="n">
        <f aca="false">IF(AND(D33&gt;0,Inputs!D18=1),D33,-1000000000000)</f>
        <v>-1000000000000</v>
      </c>
      <c r="E62" s="2" t="n">
        <f aca="false">IF(AND(E33&gt;0,Inputs!E18=1),E33,-1000000000000)</f>
        <v>-1000000000000</v>
      </c>
      <c r="F62" s="2" t="n">
        <f aca="false">D62/Inputs!$D$4</f>
        <v>-7698822080.22173</v>
      </c>
    </row>
    <row r="63" customFormat="false" ht="15" hidden="false" customHeight="false" outlineLevel="0" collapsed="false">
      <c r="A63" s="0" t="s">
        <v>922</v>
      </c>
      <c r="B63" s="0" t="s">
        <v>26</v>
      </c>
      <c r="C63" s="2" t="n">
        <f aca="false">IF(AND(C36&gt;0,Inputs!C18=1),C36,-1000000000000)</f>
        <v>-1000000000000</v>
      </c>
      <c r="D63" s="2" t="n">
        <f aca="false">IF(AND(D36&gt;0,Inputs!D18=1),D36,-1000000000000)</f>
        <v>-1000000000000</v>
      </c>
      <c r="E63" s="2" t="n">
        <f aca="false">IF(AND(E36&gt;0,Inputs!E18=1),E36,-1000000000000)</f>
        <v>-1000000000000</v>
      </c>
      <c r="F63" s="2" t="n">
        <f aca="false">D63/Inputs!$D$4</f>
        <v>-7698822080.22173</v>
      </c>
    </row>
    <row r="64" customFormat="false" ht="15" hidden="false" customHeight="false" outlineLevel="0" collapsed="false">
      <c r="A64" s="0" t="s">
        <v>918</v>
      </c>
      <c r="B64" s="0" t="s">
        <v>26</v>
      </c>
      <c r="C64" s="2" t="n">
        <f aca="false">MAX(C54,C55,C56,C62,C63)</f>
        <v>-1000000000000</v>
      </c>
      <c r="D64" s="2" t="n">
        <f aca="false">MAX(D54,D55,D56,D62,D63)</f>
        <v>-1000000000000</v>
      </c>
      <c r="E64" s="2" t="n">
        <f aca="false">MAX(E54,E55,E56,E62,E63)</f>
        <v>2108476.5582147</v>
      </c>
      <c r="F64" s="2" t="n">
        <f aca="false">D64/Inputs!$D$4</f>
        <v>-7698822080.22173</v>
      </c>
    </row>
    <row r="65" customFormat="false" ht="15" hidden="false" customHeight="false" outlineLevel="0" collapsed="false">
      <c r="A65" s="1" t="s">
        <v>923</v>
      </c>
      <c r="B65" s="6" t="s">
        <v>91</v>
      </c>
      <c r="C65" s="1" t="str">
        <f aca="false">IF(C64&lt;=0,"No viable option (hold, simplify or fix title first)",IF(C54=C64,"Self-run (PLAN generic)",IF(C55=C64,"Owner-operator, lorry kept",IF(C56=C64,"Owner-operator, sell lorry",IF(C62=C64,"Lease","Sale (conditional exit)")))))</f>
        <v>No viable option (hold, simplify or fix title first)</v>
      </c>
      <c r="D65" s="1" t="str">
        <f aca="false">IF(D64&lt;=0,"No viable option (hold, simplify or fix title first)",IF(D54=D64,"Self-run (PLAN generic)",IF(D55=D64,"Owner-operator, lorry kept",IF(D56=D64,"Owner-operator, sell lorry",IF(D62=D64,"Lease","Sale (conditional exit)")))))</f>
        <v>No viable option (hold, simplify or fix title first)</v>
      </c>
      <c r="E65" s="1" t="str">
        <f aca="false">IF(E64&lt;=0,"No viable option (hold, simplify or fix title first)",IF(E54=E64,"Self-run (PLAN generic)",IF(E55=E64,"Owner-operator, lorry kept",IF(E56=E64,"Owner-operator, sell lorry",IF(E62=E64,"Lease","Sale (conditional exit)")))))</f>
        <v>Owner-operator, sell lorry</v>
      </c>
    </row>
    <row r="66" customFormat="false" ht="15" hidden="false" customHeight="false" outlineLevel="0" collapsed="false">
      <c r="A66" s="1" t="s">
        <v>924</v>
      </c>
      <c r="B66" s="6" t="s">
        <v>91</v>
      </c>
      <c r="C66" s="1" t="str">
        <f aca="false">IF(C64&lt;=0,"No viable option: do not proceed as designed",IF(OR(C55=C64,C56=C64),IF(C64&lt;0.1*C4,"Proceed: conditional pass","Proceed"),IF(C54=C64,"Proceed (generic)","Restructure / exit")))</f>
        <v>No viable option: do not proceed as designed</v>
      </c>
      <c r="D66" s="1" t="str">
        <f aca="false">IF(D64&lt;=0,"No viable option: do not proceed as designed",IF(OR(D55=D64,D56=D64),IF(D64&lt;0.1*D4,"Proceed: conditional pass","Proceed"),IF(D54=D64,"Proceed (generic)","Restructure / exit")))</f>
        <v>No viable option: do not proceed as designed</v>
      </c>
      <c r="E66" s="1" t="str">
        <f aca="false">IF(E64&lt;=0,"No viable option: do not proceed as designed",IF(OR(E55=E64,E56=E64),IF(E64&lt;0.1*E4,"Proceed: conditional pass","Proceed"),IF(E54=E64,"Proceed (generic)","Restructure / exit")))</f>
        <v>Proceed</v>
      </c>
    </row>
    <row r="67" customFormat="false" ht="15" hidden="false" customHeight="false" outlineLevel="0" collapsed="false">
      <c r="A67" s="4" t="s">
        <v>925</v>
      </c>
      <c r="B67" s="5"/>
      <c r="C67" s="5"/>
      <c r="D67" s="5"/>
      <c r="E67" s="5"/>
      <c r="F67" s="5"/>
      <c r="G67" s="5"/>
    </row>
    <row r="68" customFormat="false" ht="15" hidden="false" customHeight="false" outlineLevel="0" collapsed="false">
      <c r="A68" s="0" t="s">
        <v>926</v>
      </c>
      <c r="B68" s="0" t="s">
        <v>35</v>
      </c>
      <c r="C68" s="8" t="n">
        <f aca="false">C21/Farm_PnL!C66</f>
        <v>-0.367414278026016</v>
      </c>
      <c r="D68" s="8" t="n">
        <f aca="false">D21/Farm_PnL!D66</f>
        <v>-0.117761276265863</v>
      </c>
      <c r="E68" s="8" t="n">
        <f aca="false">E21/Farm_PnL!E66</f>
        <v>0.0482498016108882</v>
      </c>
    </row>
    <row r="69" customFormat="false" ht="15" hidden="false" customHeight="false" outlineLevel="0" collapsed="false">
      <c r="A69" s="0" t="s">
        <v>927</v>
      </c>
      <c r="B69" s="0" t="s">
        <v>35</v>
      </c>
      <c r="C69" s="8" t="n">
        <f aca="false">C33/Farm_PnL!C66</f>
        <v>0.00601776649746193</v>
      </c>
      <c r="D69" s="8" t="n">
        <f aca="false">D33/Farm_PnL!D66</f>
        <v>0.0133086159940579</v>
      </c>
      <c r="E69" s="8" t="n">
        <f aca="false">E33/Farm_PnL!E66</f>
        <v>0.0212045775357935</v>
      </c>
    </row>
    <row r="70" customFormat="false" ht="15" hidden="false" customHeight="false" outlineLevel="0" collapsed="false">
      <c r="A70" s="0" t="s">
        <v>928</v>
      </c>
      <c r="B70" s="0" t="s">
        <v>35</v>
      </c>
      <c r="C70" s="8" t="n">
        <f aca="false">C36/Farm_PnL!C66</f>
        <v>0.019</v>
      </c>
      <c r="D70" s="8" t="n">
        <f aca="false">D36/Farm_PnL!D66</f>
        <v>0.019</v>
      </c>
      <c r="E70" s="8" t="n">
        <f aca="false">E36/Farm_PnL!E66</f>
        <v>0.019</v>
      </c>
    </row>
    <row r="71" customFormat="false" ht="15" hidden="false" customHeight="false" outlineLevel="0" collapsed="false">
      <c r="A71" s="0" t="s">
        <v>929</v>
      </c>
      <c r="B71" s="0" t="s">
        <v>35</v>
      </c>
      <c r="C71" s="8" t="n">
        <f aca="false">(C36-(C33-C7))/Farm_PnL!C65</f>
        <v>0.0270046583850932</v>
      </c>
      <c r="D71" s="8" t="n">
        <f aca="false">(D36-(D33-D7))/Farm_PnL!D65</f>
        <v>0.0199945652173913</v>
      </c>
      <c r="E71" s="8" t="n">
        <f aca="false">(E36-(E33-E7))/Farm_PnL!E65</f>
        <v>0.0166048136645963</v>
      </c>
    </row>
    <row r="72" customFormat="false" ht="15" hidden="false" customHeight="false" outlineLevel="0" collapsed="false">
      <c r="A72" s="0" t="s">
        <v>930</v>
      </c>
      <c r="B72" s="0" t="s">
        <v>26</v>
      </c>
      <c r="C72" s="2" t="n">
        <f aca="false">0.07*C5</f>
        <v>227453.52</v>
      </c>
      <c r="D72" s="2" t="n">
        <f aca="false">0.07*D5</f>
        <v>339789.1</v>
      </c>
      <c r="E72" s="2" t="n">
        <f aca="false">0.07*E5</f>
        <v>489738.396</v>
      </c>
      <c r="F72" s="2" t="n">
        <f aca="false">D72/Inputs!$D$4</f>
        <v>2615.97582569867</v>
      </c>
    </row>
    <row r="73" customFormat="false" ht="15" hidden="false" customHeight="false" outlineLevel="0" collapsed="false">
      <c r="A73" s="0" t="s">
        <v>931</v>
      </c>
      <c r="B73" s="0" t="s">
        <v>35</v>
      </c>
      <c r="C73" s="8" t="n">
        <f aca="false">C17/C5</f>
        <v>0.0578579746754414</v>
      </c>
      <c r="D73" s="8" t="n">
        <f aca="false">D17/D5</f>
        <v>0.0387299062859874</v>
      </c>
      <c r="E73" s="8" t="n">
        <f aca="false">E17/E5</f>
        <v>0.0268714891613277</v>
      </c>
    </row>
    <row r="74" customFormat="false" ht="15" hidden="false" customHeight="false" outlineLevel="0" collapsed="false">
      <c r="A74" s="0" t="s">
        <v>932</v>
      </c>
      <c r="B74" s="0" t="s">
        <v>97</v>
      </c>
      <c r="C74" s="11" t="n">
        <f aca="false">IF(AND(C4&gt;0,C17&lt;=C4/3),1,0)</f>
        <v>0</v>
      </c>
      <c r="D74" s="11" t="n">
        <f aca="false">IF(AND(D4&gt;0,D17&lt;=D4/3),1,0)</f>
        <v>0</v>
      </c>
      <c r="E74" s="11" t="n">
        <f aca="false">IF(AND(E4&gt;0,E17&lt;=E4/3),1,0)</f>
        <v>1</v>
      </c>
    </row>
    <row r="75" customFormat="false" ht="15" hidden="false" customHeight="false" outlineLevel="0" collapsed="false">
      <c r="A75" s="0" t="s">
        <v>933</v>
      </c>
      <c r="B75" s="0" t="s">
        <v>97</v>
      </c>
      <c r="C75" s="11" t="n">
        <f aca="false">IF(C17&lt;=C72,1,0)</f>
        <v>1</v>
      </c>
      <c r="D75" s="11" t="n">
        <f aca="false">IF(D17&lt;=D72,1,0)</f>
        <v>1</v>
      </c>
      <c r="E75" s="11" t="n">
        <f aca="false">IF(E17&lt;=E72,1,0)</f>
        <v>1</v>
      </c>
    </row>
    <row r="76" customFormat="false" ht="15" hidden="false" customHeight="false" outlineLevel="0" collapsed="false">
      <c r="A76" s="0" t="s">
        <v>934</v>
      </c>
      <c r="B76" s="0" t="s">
        <v>35</v>
      </c>
      <c r="C76" s="8" t="n">
        <f aca="false">(C11+C12)/C5</f>
        <v>0.509027075070107</v>
      </c>
      <c r="D76" s="8" t="n">
        <f aca="false">(D11+D12)/D5</f>
        <v>0.340740771260761</v>
      </c>
      <c r="E76" s="8" t="n">
        <f aca="false">(E11+E12)/E5</f>
        <v>0.236411931238489</v>
      </c>
    </row>
    <row r="77" customFormat="false" ht="15" hidden="false" customHeight="false" outlineLevel="0" collapsed="false">
      <c r="A77" s="4" t="s">
        <v>935</v>
      </c>
      <c r="B77" s="5"/>
      <c r="C77" s="5"/>
      <c r="D77" s="5"/>
      <c r="E77" s="5"/>
      <c r="F77" s="5"/>
      <c r="G77" s="5"/>
    </row>
    <row r="78" customFormat="false" ht="15" hidden="false" customHeight="false" outlineLevel="0" collapsed="false">
      <c r="A78" s="0" t="s">
        <v>936</v>
      </c>
      <c r="B78" s="0" t="s">
        <v>26</v>
      </c>
      <c r="C78" s="2" t="n">
        <f aca="false">C17+C18+C19</f>
        <v>500000</v>
      </c>
      <c r="D78" s="2" t="n">
        <f aca="false">D17+D18+D19</f>
        <v>356000</v>
      </c>
      <c r="E78" s="2" t="n">
        <f aca="false">E17+E18+E19</f>
        <v>308000</v>
      </c>
      <c r="F78" s="2" t="n">
        <f aca="false">D78/Inputs!$D$4</f>
        <v>2740.78066055894</v>
      </c>
    </row>
    <row r="79" customFormat="false" ht="15" hidden="false" customHeight="false" outlineLevel="0" collapsed="false">
      <c r="A79" s="0" t="s">
        <v>937</v>
      </c>
      <c r="B79" s="0" t="s">
        <v>26</v>
      </c>
      <c r="C79" s="2" t="n">
        <f aca="false">C18+C17+C19+C16*Inputs!C8+C20+C8-C7</f>
        <v>1470983.49181548</v>
      </c>
      <c r="D79" s="2" t="n">
        <f aca="false">D18+D17+D19+D16*Inputs!D8+D20+D8-D7</f>
        <v>845380.453278123</v>
      </c>
      <c r="E79" s="2" t="n">
        <f aca="false">E18+E17+E19+E16*Inputs!E8+E20+E8-E7</f>
        <v>393758.280277701</v>
      </c>
      <c r="F79" s="2" t="n">
        <f aca="false">D79/Inputs!$D$4</f>
        <v>6508.43369988547</v>
      </c>
    </row>
    <row r="80" customFormat="false" ht="15" hidden="false" customHeight="false" outlineLevel="0" collapsed="false">
      <c r="A80" s="0" t="s">
        <v>938</v>
      </c>
      <c r="B80" s="0" t="s">
        <v>26</v>
      </c>
      <c r="C80" s="2" t="n">
        <f aca="false">C18+C17+C19+C16*Inputs!C8+C20+C24-C7-C25</f>
        <v>1160483.49181548</v>
      </c>
      <c r="D80" s="2" t="n">
        <f aca="false">D18+D17+D19+D16*Inputs!D8+D20+D24-D7-D25</f>
        <v>579880.453278123</v>
      </c>
      <c r="E80" s="2" t="n">
        <f aca="false">E18+E17+E19+E16*Inputs!E8+E20+E24-E7-E25</f>
        <v>173258.280277701</v>
      </c>
      <c r="F80" s="2" t="n">
        <f aca="false">D80/Inputs!$D$4</f>
        <v>4464.3964375866</v>
      </c>
    </row>
    <row r="81" customFormat="false" ht="15" hidden="false" customHeight="false" outlineLevel="0" collapsed="false">
      <c r="A81" s="0" t="s">
        <v>939</v>
      </c>
      <c r="B81" s="0" t="s">
        <v>26</v>
      </c>
      <c r="C81" s="2" t="str">
        <f aca="false">IF(Farm_PnL!C50&lt;=0.02,"n/a",(Farm_PnL!C44+C79)/Farm_PnL!C50)</f>
        <v>n/a</v>
      </c>
      <c r="D81" s="2" t="n">
        <f aca="false">IF(Farm_PnL!D50&lt;=0.02,"n/a",(Farm_PnL!D44+D79)/Farm_PnL!D50)</f>
        <v>18952430.7233615</v>
      </c>
      <c r="E81" s="2" t="n">
        <f aca="false">IF(Farm_PnL!E50&lt;=0.02,"n/a",(Farm_PnL!E44+E79)/Farm_PnL!E50)</f>
        <v>4665716.3249955</v>
      </c>
      <c r="F81" s="2" t="n">
        <f aca="false">D81/Inputs!$D$4</f>
        <v>145911.392126888</v>
      </c>
    </row>
    <row r="82" customFormat="false" ht="15" hidden="false" customHeight="false" outlineLevel="0" collapsed="false">
      <c r="A82" s="0" t="s">
        <v>940</v>
      </c>
      <c r="B82" s="0" t="s">
        <v>76</v>
      </c>
      <c r="C82" s="10" t="str">
        <f aca="false">IF(ISNUMBER(C81),C81/C5,"n/a")</f>
        <v>n/a</v>
      </c>
      <c r="D82" s="10" t="n">
        <f aca="false">IF(ISNUMBER(D81),D81/D5,"n/a")</f>
        <v>3.90439290323117</v>
      </c>
      <c r="E82" s="10" t="n">
        <f aca="false">IF(ISNUMBER(E81),E81/E5,"n/a")</f>
        <v>0.666886944983756</v>
      </c>
    </row>
    <row r="83" customFormat="false" ht="15" hidden="false" customHeight="false" outlineLevel="0" collapsed="false">
      <c r="A83" s="0" t="s">
        <v>941</v>
      </c>
      <c r="B83" s="0" t="s">
        <v>26</v>
      </c>
      <c r="C83" s="2" t="n">
        <f aca="false">C79+C33</f>
        <v>1571750.99181548</v>
      </c>
      <c r="D83" s="2" t="n">
        <f aca="false">D79+D33</f>
        <v>1114147.95327812</v>
      </c>
      <c r="E83" s="2" t="n">
        <f aca="false">E79+E33</f>
        <v>919525.780277701</v>
      </c>
      <c r="F83" s="2" t="n">
        <f aca="false">D83/Inputs!$D$4</f>
        <v>8577.62686333146</v>
      </c>
    </row>
    <row r="84" customFormat="false" ht="15" hidden="false" customHeight="false" outlineLevel="0" collapsed="false">
      <c r="A84" s="0" t="s">
        <v>942</v>
      </c>
      <c r="B84" s="0" t="s">
        <v>26</v>
      </c>
      <c r="C84" s="2" t="n">
        <f aca="false">C78-C4</f>
        <v>5181368.59373016</v>
      </c>
      <c r="D84" s="2" t="n">
        <f aca="false">D78-D4</f>
        <v>1888808.52091097</v>
      </c>
      <c r="E84" s="2" t="n">
        <f aca="false">E78-E4</f>
        <v>-1282112.11121967</v>
      </c>
      <c r="F84" s="2" t="n">
        <f aca="false">D84/Inputs!$D$4</f>
        <v>14541.6007461003</v>
      </c>
    </row>
    <row r="85" customFormat="false" ht="15" hidden="false" customHeight="false" outlineLevel="0" collapsed="false">
      <c r="A85" s="0" t="s">
        <v>943</v>
      </c>
      <c r="B85" s="0" t="s">
        <v>26</v>
      </c>
      <c r="C85" s="2" t="n">
        <f aca="false">C79-C4</f>
        <v>6152352.08554563</v>
      </c>
      <c r="D85" s="2" t="n">
        <f aca="false">D79-D4</f>
        <v>2378188.9741891</v>
      </c>
      <c r="E85" s="2" t="n">
        <f aca="false">E79-E4</f>
        <v>-1196353.83094197</v>
      </c>
      <c r="F85" s="2" t="n">
        <f aca="false">D85/Inputs!$D$4</f>
        <v>18309.2537854269</v>
      </c>
    </row>
    <row r="86" customFormat="false" ht="15" hidden="false" customHeight="false" outlineLevel="0" collapsed="false">
      <c r="A86" s="0" t="s">
        <v>944</v>
      </c>
      <c r="B86" s="0" t="s">
        <v>26</v>
      </c>
      <c r="C86" s="2" t="n">
        <f aca="false">C83-C4</f>
        <v>6253119.58554563</v>
      </c>
      <c r="D86" s="2" t="n">
        <f aca="false">D83-D4</f>
        <v>2646956.4741891</v>
      </c>
      <c r="E86" s="2" t="n">
        <f aca="false">E83-E4</f>
        <v>-670586.330941973</v>
      </c>
      <c r="F86" s="2" t="n">
        <f aca="false">D86/Inputs!$D$4</f>
        <v>20378.4469488729</v>
      </c>
    </row>
    <row r="87" customFormat="false" ht="15" hidden="false" customHeight="false" outlineLevel="0" collapsed="false">
      <c r="A87" s="0" t="s">
        <v>945</v>
      </c>
      <c r="B87" s="0" t="s">
        <v>26</v>
      </c>
      <c r="C87" s="2" t="n">
        <f aca="false">C80-C23</f>
        <v>4457377.08554563</v>
      </c>
      <c r="D87" s="2" t="n">
        <f aca="false">D80-D23</f>
        <v>1163255.64085576</v>
      </c>
      <c r="E87" s="2" t="n">
        <f aca="false">E80-E23</f>
        <v>-2108476.5582147</v>
      </c>
      <c r="F87" s="2" t="n">
        <f aca="false">D87/Inputs!$D$4</f>
        <v>8955.69821276282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946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customFormat="false" ht="15" hidden="false" customHeight="false" outlineLevel="0" collapsed="false">
      <c r="A3" s="4" t="s">
        <v>947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0" t="s">
        <v>100</v>
      </c>
      <c r="B4" s="0" t="s">
        <v>26</v>
      </c>
      <c r="C4" s="2" t="n">
        <f aca="false">MAX(0,B12!C85)</f>
        <v>6152352.08554563</v>
      </c>
      <c r="D4" s="2" t="n">
        <f aca="false">MAX(0,B12!D85)</f>
        <v>2378188.9741891</v>
      </c>
      <c r="E4" s="2" t="n">
        <f aca="false">MAX(0,B12!E85)</f>
        <v>0</v>
      </c>
      <c r="F4" s="2" t="n">
        <f aca="false">D4/Inputs!$D$4</f>
        <v>18309.2537854269</v>
      </c>
    </row>
    <row r="5" customFormat="false" ht="15" hidden="false" customHeight="false" outlineLevel="0" collapsed="false">
      <c r="A5" s="0" t="s">
        <v>101</v>
      </c>
      <c r="B5" s="0" t="s">
        <v>26</v>
      </c>
      <c r="C5" s="2" t="n">
        <f aca="false">MAX(0,B12!C84)</f>
        <v>5181368.59373016</v>
      </c>
      <c r="D5" s="2" t="n">
        <f aca="false">MAX(0,B12!D84)</f>
        <v>1888808.52091097</v>
      </c>
      <c r="E5" s="2" t="n">
        <f aca="false">MAX(0,B12!E84)</f>
        <v>0</v>
      </c>
      <c r="F5" s="2" t="n">
        <f aca="false">D5/Inputs!$D$4</f>
        <v>14541.6007461003</v>
      </c>
    </row>
    <row r="6" customFormat="false" ht="15" hidden="false" customHeight="false" outlineLevel="0" collapsed="false">
      <c r="A6" s="4" t="s">
        <v>948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0" t="s">
        <v>949</v>
      </c>
      <c r="B7" s="0" t="s">
        <v>103</v>
      </c>
      <c r="C7" s="9" t="n">
        <f aca="false">IF(Poultry!C247=0,0,Poultry!C251/Poultry!C247)</f>
        <v>12</v>
      </c>
      <c r="D7" s="9" t="n">
        <f aca="false">IF(Poultry!D247=0,0,Poultry!D251/Poultry!D247)</f>
        <v>15</v>
      </c>
      <c r="E7" s="9" t="n">
        <f aca="false">IF(Poultry!E247=0,0,Poultry!E251/Poultry!E247)</f>
        <v>18</v>
      </c>
    </row>
    <row r="8" customFormat="false" ht="15" hidden="false" customHeight="false" outlineLevel="0" collapsed="false">
      <c r="A8" s="1" t="s">
        <v>950</v>
      </c>
      <c r="B8" s="6" t="s">
        <v>103</v>
      </c>
      <c r="C8" s="22" t="n">
        <f aca="false">C7+C4/(Poultry!C247*(1-Inputs!C63))</f>
        <v>87.8605597669275</v>
      </c>
      <c r="D8" s="22" t="n">
        <f aca="false">D7+D4/(Poultry!D247*(1-Inputs!D63))</f>
        <v>36.0630688187648</v>
      </c>
      <c r="E8" s="22" t="n">
        <f aca="false">E7+E4/(Poultry!E247*(1-Inputs!E63))</f>
        <v>18</v>
      </c>
    </row>
    <row r="9" customFormat="false" ht="15" hidden="false" customHeight="false" outlineLevel="0" collapsed="false">
      <c r="A9" s="0" t="s">
        <v>951</v>
      </c>
      <c r="B9" s="0" t="s">
        <v>228</v>
      </c>
      <c r="C9" s="2" t="n">
        <f aca="false">C8*30</f>
        <v>2635.81679300783</v>
      </c>
      <c r="D9" s="2" t="n">
        <f aca="false">D8*30</f>
        <v>1081.89206456294</v>
      </c>
      <c r="E9" s="2" t="n">
        <f aca="false">E8*30</f>
        <v>540</v>
      </c>
    </row>
    <row r="10" customFormat="false" ht="15" hidden="false" customHeight="false" outlineLevel="0" collapsed="false">
      <c r="A10" s="0" t="s">
        <v>952</v>
      </c>
      <c r="B10" s="0" t="s">
        <v>105</v>
      </c>
      <c r="C10" s="2" t="n">
        <f aca="false">Poultry!C252/Poultry!C249</f>
        <v>623.127501429388</v>
      </c>
      <c r="D10" s="2" t="n">
        <f aca="false">Poultry!D252/Poultry!D249</f>
        <v>761.010425020048</v>
      </c>
      <c r="E10" s="2" t="n">
        <f aca="false">Poultry!E252/Poultry!E249</f>
        <v>920.412869221478</v>
      </c>
    </row>
    <row r="11" customFormat="false" ht="15" hidden="false" customHeight="false" outlineLevel="0" collapsed="false">
      <c r="A11" s="1" t="s">
        <v>104</v>
      </c>
      <c r="B11" s="6" t="s">
        <v>105</v>
      </c>
      <c r="C11" s="7" t="n">
        <f aca="false">C10+C4/(Poultry!C249*(1-Inputs!C65))</f>
        <v>2937.36424029733</v>
      </c>
      <c r="D11" s="7" t="n">
        <f aca="false">D10+D4/(Poultry!D249*(1-Inputs!D65))</f>
        <v>1555.64721137032</v>
      </c>
      <c r="E11" s="7" t="n">
        <f aca="false">E10+E4/(Poultry!E249*(1-Inputs!E65))</f>
        <v>920.412869221478</v>
      </c>
    </row>
    <row r="12" customFormat="false" ht="15" hidden="false" customHeight="false" outlineLevel="0" collapsed="false">
      <c r="A12" s="0" t="s">
        <v>953</v>
      </c>
      <c r="B12" s="0" t="s">
        <v>35</v>
      </c>
      <c r="C12" s="8" t="n">
        <f aca="false">C11/C10-1</f>
        <v>3.71390563497731</v>
      </c>
      <c r="D12" s="8" t="n">
        <f aca="false">D11/D10-1</f>
        <v>1.04418646607809</v>
      </c>
      <c r="E12" s="8" t="n">
        <f aca="false">E11/E10-1</f>
        <v>0</v>
      </c>
    </row>
    <row r="13" customFormat="false" ht="15" hidden="false" customHeight="false" outlineLevel="0" collapsed="false">
      <c r="A13" s="1" t="s">
        <v>954</v>
      </c>
      <c r="B13" s="6" t="s">
        <v>35</v>
      </c>
      <c r="C13" s="23" t="n">
        <f aca="false">C4/Farm_PnL!C59</f>
        <v>1.66948563347516</v>
      </c>
      <c r="D13" s="23" t="n">
        <f aca="false">D4/Farm_PnL!D59</f>
        <v>0.843134879596621</v>
      </c>
      <c r="E13" s="23" t="n">
        <f aca="false">E4/Farm_PnL!E59</f>
        <v>0</v>
      </c>
    </row>
    <row r="14" customFormat="false" ht="15" hidden="false" customHeight="false" outlineLevel="0" collapsed="false">
      <c r="A14" s="0" t="s">
        <v>955</v>
      </c>
      <c r="B14" s="0" t="s">
        <v>35</v>
      </c>
      <c r="C14" s="8" t="n">
        <f aca="false">C5/Farm_PnL!C59</f>
        <v>1.40600217749156</v>
      </c>
      <c r="D14" s="8" t="n">
        <f aca="false">D5/Farm_PnL!D59</f>
        <v>0.669635744738223</v>
      </c>
      <c r="E14" s="8" t="n">
        <f aca="false">E5/Farm_PnL!E59</f>
        <v>0</v>
      </c>
    </row>
    <row r="15" customFormat="false" ht="15" hidden="false" customHeight="false" outlineLevel="0" collapsed="false">
      <c r="A15" s="0" t="s">
        <v>956</v>
      </c>
      <c r="B15" s="0" t="s">
        <v>437</v>
      </c>
      <c r="C15" s="2" t="n">
        <f aca="false">Inputs!C248</f>
        <v>22000</v>
      </c>
      <c r="D15" s="2" t="n">
        <f aca="false">Inputs!D248</f>
        <v>22000</v>
      </c>
      <c r="E15" s="2" t="n">
        <f aca="false">Inputs!E248</f>
        <v>22000</v>
      </c>
    </row>
    <row r="16" customFormat="false" ht="15" hidden="false" customHeight="false" outlineLevel="0" collapsed="false">
      <c r="A16" s="1" t="s">
        <v>957</v>
      </c>
      <c r="B16" s="6" t="s">
        <v>437</v>
      </c>
      <c r="C16" s="7" t="n">
        <f aca="false">Inputs!C248-C4/(36*(1+Inputs!C251+Inputs!C252))</f>
        <v>-136975.50608645</v>
      </c>
      <c r="D16" s="7" t="n">
        <f aca="false">Inputs!D248-D4/(36*(1+Inputs!D251+Inputs!D252))</f>
        <v>-39451.9114777544</v>
      </c>
      <c r="E16" s="7" t="n">
        <f aca="false">Inputs!E248-E4/(36*(1+Inputs!E251+Inputs!E252))</f>
        <v>22000</v>
      </c>
      <c r="G16" s="6" t="s">
        <v>958</v>
      </c>
    </row>
    <row r="17" customFormat="false" ht="15" hidden="false" customHeight="false" outlineLevel="0" collapsed="false">
      <c r="A17" s="0" t="s">
        <v>959</v>
      </c>
      <c r="B17" s="0" t="s">
        <v>437</v>
      </c>
      <c r="C17" s="2" t="n">
        <f aca="false">Inputs!C246</f>
        <v>9235.78</v>
      </c>
      <c r="D17" s="2" t="n">
        <f aca="false">Inputs!D246</f>
        <v>9235.78</v>
      </c>
      <c r="E17" s="2" t="n">
        <f aca="false">Inputs!E246</f>
        <v>9235.78</v>
      </c>
    </row>
    <row r="18" customFormat="false" ht="15" hidden="false" customHeight="false" outlineLevel="0" collapsed="false">
      <c r="A18" s="1" t="s">
        <v>960</v>
      </c>
      <c r="B18" s="6" t="s">
        <v>76</v>
      </c>
      <c r="C18" s="24" t="str">
        <f aca="false">IF(Poultry!C255&lt;=0,"n/a",1+C4/Poultry!C255)</f>
        <v>n/a</v>
      </c>
      <c r="D18" s="24" t="n">
        <f aca="false">IF(Poultry!D255&lt;=0,"n/a",1+D4/Poultry!D255)</f>
        <v>5.30846936604177</v>
      </c>
      <c r="E18" s="24" t="n">
        <f aca="false">IF(Poultry!E255&lt;=0,"n/a",1+E4/Poultry!E255)</f>
        <v>1</v>
      </c>
      <c r="G18" s="6" t="s">
        <v>961</v>
      </c>
    </row>
    <row r="19" customFormat="false" ht="15" hidden="false" customHeight="false" outlineLevel="0" collapsed="false">
      <c r="A19" s="1" t="s">
        <v>962</v>
      </c>
      <c r="B19" s="6" t="s">
        <v>26</v>
      </c>
      <c r="C19" s="7" t="n">
        <f aca="false">B12!C26-B12!C21</f>
        <v>1694975</v>
      </c>
      <c r="D19" s="7" t="n">
        <f aca="false">B12!D26-B12!D21</f>
        <v>1214933.33333333</v>
      </c>
      <c r="E19" s="7" t="n">
        <f aca="false">B12!E26-B12!E21</f>
        <v>912122.727272727</v>
      </c>
      <c r="F19" s="2" t="n">
        <f aca="false">D19/Inputs!$D$4</f>
        <v>9353.55557266405</v>
      </c>
    </row>
    <row r="20" customFormat="false" ht="15" hidden="false" customHeight="false" outlineLevel="0" collapsed="false">
      <c r="A20" s="0" t="s">
        <v>963</v>
      </c>
      <c r="B20" s="0" t="s">
        <v>109</v>
      </c>
      <c r="C20" s="11" t="n">
        <f aca="false">Lorry!C29</f>
        <v>317.358166189112</v>
      </c>
      <c r="D20" s="11" t="n">
        <f aca="false">Lorry!D29</f>
        <v>73.0333333333333</v>
      </c>
      <c r="E20" s="11" t="n">
        <f aca="false">Lorry!E29</f>
        <v>31.4568947694852</v>
      </c>
    </row>
    <row r="21" customFormat="false" ht="15" hidden="false" customHeight="false" outlineLevel="0" collapsed="false">
      <c r="A21" s="4" t="s">
        <v>964</v>
      </c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0" t="s">
        <v>965</v>
      </c>
      <c r="B22" s="0" t="s">
        <v>26</v>
      </c>
      <c r="C22" s="2" t="n">
        <f aca="false">B12!C21</f>
        <v>-6152352.08554563</v>
      </c>
      <c r="D22" s="2" t="n">
        <f aca="false">B12!D21</f>
        <v>-2378188.9741891</v>
      </c>
      <c r="E22" s="2" t="n">
        <f aca="false">B12!E21</f>
        <v>1196353.83094197</v>
      </c>
      <c r="F22" s="2" t="n">
        <f aca="false">D22/Inputs!$D$4</f>
        <v>-18309.2537854269</v>
      </c>
    </row>
    <row r="23" customFormat="false" ht="15" hidden="false" customHeight="false" outlineLevel="0" collapsed="false">
      <c r="A23" s="0" t="s">
        <v>966</v>
      </c>
      <c r="B23" s="0" t="s">
        <v>26</v>
      </c>
      <c r="C23" s="2" t="n">
        <f aca="false">C22+C19</f>
        <v>-4457377.08554563</v>
      </c>
      <c r="D23" s="2" t="n">
        <f aca="false">D22+D19</f>
        <v>-1163255.64085576</v>
      </c>
      <c r="E23" s="2" t="n">
        <f aca="false">E22+E19</f>
        <v>2108476.5582147</v>
      </c>
      <c r="F23" s="2" t="n">
        <f aca="false">D23/Inputs!$D$4</f>
        <v>-8955.69821276282</v>
      </c>
    </row>
    <row r="24" customFormat="false" ht="15" hidden="false" customHeight="false" outlineLevel="0" collapsed="false">
      <c r="A24" s="0" t="s">
        <v>967</v>
      </c>
      <c r="B24" s="0" t="s">
        <v>26</v>
      </c>
      <c r="C24" s="2" t="n">
        <f aca="false">C23+0.2*Farm_PnL!C59</f>
        <v>-3720341.44268849</v>
      </c>
      <c r="D24" s="2" t="n">
        <f aca="false">D23+0.2*Farm_PnL!D59</f>
        <v>-599125.5042098</v>
      </c>
      <c r="E24" s="2" t="n">
        <f aca="false">E23+0.2*Farm_PnL!E59</f>
        <v>2559517.2907375</v>
      </c>
      <c r="F24" s="2" t="n">
        <f aca="false">D24/Inputs!$D$4</f>
        <v>-4612.56066063438</v>
      </c>
    </row>
    <row r="25" customFormat="false" ht="15" hidden="false" customHeight="false" outlineLevel="0" collapsed="false">
      <c r="A25" s="0" t="s">
        <v>968</v>
      </c>
      <c r="B25" s="0" t="s">
        <v>26</v>
      </c>
      <c r="C25" s="2" t="n">
        <f aca="false">C24+(Inputs!C248*12*(1+Inputs!C251+Inputs!C252)+12*Inputs!C253)-(MAX(0,Labour!C13-2*Labour!C14)-MAX(0,Labour!C13-3*Labour!C14))/8*Inputs!C255</f>
        <v>-3570941.44268849</v>
      </c>
      <c r="D25" s="2" t="n">
        <f aca="false">D24+(Inputs!D248*12*(1+Inputs!D251+Inputs!D252)+12*Inputs!D253)-(MAX(0,Labour!D13-2*Labour!D14)-MAX(0,Labour!D13-3*Labour!D14))/8*Inputs!D255</f>
        <v>-411550.5042098</v>
      </c>
      <c r="E25" s="2" t="n">
        <f aca="false">E24+(Inputs!E248*12*(1+Inputs!E251+Inputs!E252)+12*Inputs!E253)-(MAX(0,Labour!E13-2*Labour!E14)-MAX(0,Labour!E13-3*Labour!E14))/8*Inputs!E255</f>
        <v>2800450.7282375</v>
      </c>
      <c r="F25" s="2" t="n">
        <f aca="false">D25/Inputs!$D$4</f>
        <v>-3168.45410893679</v>
      </c>
    </row>
    <row r="26" customFormat="false" ht="15" hidden="false" customHeight="false" outlineLevel="0" collapsed="false">
      <c r="A26" s="0" t="s">
        <v>969</v>
      </c>
      <c r="B26" s="0" t="s">
        <v>26</v>
      </c>
      <c r="C26" s="2" t="n">
        <f aca="false">C25+0.1*(Poultry!C251*(1-Inputs!C63)+Poultry!C252*(1-Inputs!C65))</f>
        <v>-3307963.28268849</v>
      </c>
      <c r="D26" s="2" t="n">
        <f aca="false">D25+0.1*(Poultry!D251*(1-Inputs!D63)+Poultry!D252*(1-Inputs!D65))</f>
        <v>-14433.3042097999</v>
      </c>
      <c r="E26" s="2" t="n">
        <f aca="false">E25+0.1*(Poultry!E251*(1-Inputs!E63)+Poultry!E252*(1-Inputs!E65))</f>
        <v>3373345.6882375</v>
      </c>
      <c r="F26" s="2" t="n">
        <f aca="false">D26/Inputs!$D$4</f>
        <v>-111.119441140965</v>
      </c>
    </row>
    <row r="27" customFormat="false" ht="15" hidden="false" customHeight="false" outlineLevel="0" collapsed="false">
      <c r="A27" s="0" t="s">
        <v>970</v>
      </c>
      <c r="B27" s="0" t="s">
        <v>26</v>
      </c>
      <c r="C27" s="2" t="n">
        <f aca="false">C26+B12!C18+0.5*B12!C19+0.5*Inputs!C294*Inputs!C295*Inputs!C8</f>
        <v>-3019963.28268849</v>
      </c>
      <c r="D27" s="2" t="n">
        <f aca="false">D26+B12!D18+0.5*B12!D19+0.5*Inputs!D294*Inputs!D295*Inputs!D8</f>
        <v>134366.6957902</v>
      </c>
      <c r="E27" s="2" t="n">
        <f aca="false">E26+B12!E18+0.5*B12!E19+0.5*Inputs!E294*Inputs!E295*Inputs!E8</f>
        <v>3483345.6882375</v>
      </c>
      <c r="F27" s="2" t="n">
        <f aca="false">D27/Inputs!$D$4</f>
        <v>1034.46528439603</v>
      </c>
    </row>
    <row r="28" customFormat="false" ht="15" hidden="false" customHeight="false" outlineLevel="0" collapsed="false">
      <c r="A28" s="4" t="s">
        <v>971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0" t="s">
        <v>972</v>
      </c>
      <c r="B29" s="0" t="s">
        <v>26</v>
      </c>
      <c r="C29" s="2" t="n">
        <f aca="false">B12!C21+(-3)*Poultry!C247*(1-Inputs!C63)+(-150)*Poultry!C249*(1-Inputs!C65)</f>
        <v>-6794426.48554563</v>
      </c>
      <c r="D29" s="2" t="n">
        <f aca="false">B12!D21+(-3)*Poultry!D247*(1-Inputs!D63)+(-150)*Poultry!D249*(1-Inputs!D65)</f>
        <v>-3165832.9741891</v>
      </c>
      <c r="E29" s="2" t="n">
        <f aca="false">B12!E21+(-3)*Poultry!E247*(1-Inputs!E63)+(-150)*Poultry!E249*(1-Inputs!E65)</f>
        <v>253550.430941973</v>
      </c>
      <c r="F29" s="2" t="n">
        <f aca="false">D29/Inputs!$D$4</f>
        <v>-24373.184803981</v>
      </c>
    </row>
    <row r="30" customFormat="false" ht="15" hidden="false" customHeight="false" outlineLevel="0" collapsed="false">
      <c r="A30" s="0" t="s">
        <v>973</v>
      </c>
      <c r="B30" s="0" t="s">
        <v>26</v>
      </c>
      <c r="C30" s="2" t="n">
        <f aca="false">B12!C21+(-3)*Poultry!C247*(1-Inputs!C63)+(-75)*Poultry!C249*(1-Inputs!C65)</f>
        <v>-6595040.48554563</v>
      </c>
      <c r="D30" s="2" t="n">
        <f aca="false">B12!D21+(-3)*Poultry!D247*(1-Inputs!D63)+(-75)*Poultry!D249*(1-Inputs!D65)</f>
        <v>-2941372.9741891</v>
      </c>
      <c r="E30" s="2" t="n">
        <f aca="false">B12!E21+(-3)*Poultry!E247*(1-Inputs!E63)+(-75)*Poultry!E249*(1-Inputs!E65)</f>
        <v>518564.130941973</v>
      </c>
      <c r="F30" s="2" t="n">
        <f aca="false">D30/Inputs!$D$4</f>
        <v>-22645.1071998545</v>
      </c>
    </row>
    <row r="31" customFormat="false" ht="15" hidden="false" customHeight="false" outlineLevel="0" collapsed="false">
      <c r="A31" s="0" t="s">
        <v>974</v>
      </c>
      <c r="B31" s="0" t="s">
        <v>26</v>
      </c>
      <c r="C31" s="2" t="n">
        <f aca="false">B12!C21+(-3)*Poultry!C247*(1-Inputs!C63)+(0)*Poultry!C249*(1-Inputs!C65)</f>
        <v>-6395654.48554563</v>
      </c>
      <c r="D31" s="2" t="n">
        <f aca="false">B12!D21+(-3)*Poultry!D247*(1-Inputs!D63)+(0)*Poultry!D249*(1-Inputs!D65)</f>
        <v>-2716912.9741891</v>
      </c>
      <c r="E31" s="2" t="n">
        <f aca="false">B12!E21+(-3)*Poultry!E247*(1-Inputs!E63)+(0)*Poultry!E249*(1-Inputs!E65)</f>
        <v>783577.830941973</v>
      </c>
      <c r="F31" s="2" t="n">
        <f aca="false">D31/Inputs!$D$4</f>
        <v>-20917.0295957279</v>
      </c>
    </row>
    <row r="32" customFormat="false" ht="15" hidden="false" customHeight="false" outlineLevel="0" collapsed="false">
      <c r="A32" s="0" t="s">
        <v>975</v>
      </c>
      <c r="B32" s="0" t="s">
        <v>26</v>
      </c>
      <c r="C32" s="2" t="n">
        <f aca="false">B12!C21+(-3)*Poultry!C247*(1-Inputs!C63)+(75)*Poultry!C249*(1-Inputs!C65)</f>
        <v>-6196268.48554563</v>
      </c>
      <c r="D32" s="2" t="n">
        <f aca="false">B12!D21+(-3)*Poultry!D247*(1-Inputs!D63)+(75)*Poultry!D249*(1-Inputs!D65)</f>
        <v>-2492452.9741891</v>
      </c>
      <c r="E32" s="2" t="n">
        <f aca="false">B12!E21+(-3)*Poultry!E247*(1-Inputs!E63)+(75)*Poultry!E249*(1-Inputs!E65)</f>
        <v>1048591.53094197</v>
      </c>
      <c r="F32" s="2" t="n">
        <f aca="false">D32/Inputs!$D$4</f>
        <v>-19188.9519916013</v>
      </c>
    </row>
    <row r="33" customFormat="false" ht="15" hidden="false" customHeight="false" outlineLevel="0" collapsed="false">
      <c r="A33" s="0" t="s">
        <v>976</v>
      </c>
      <c r="B33" s="0" t="s">
        <v>26</v>
      </c>
      <c r="C33" s="2" t="n">
        <f aca="false">B12!C21+(-3)*Poultry!C247*(1-Inputs!C63)+(150)*Poultry!C249*(1-Inputs!C65)</f>
        <v>-5996882.48554563</v>
      </c>
      <c r="D33" s="2" t="n">
        <f aca="false">B12!D21+(-3)*Poultry!D247*(1-Inputs!D63)+(150)*Poultry!D249*(1-Inputs!D65)</f>
        <v>-2267992.9741891</v>
      </c>
      <c r="E33" s="2" t="n">
        <f aca="false">B12!E21+(-3)*Poultry!E247*(1-Inputs!E63)+(150)*Poultry!E249*(1-Inputs!E65)</f>
        <v>1313605.23094197</v>
      </c>
      <c r="F33" s="2" t="n">
        <f aca="false">D33/Inputs!$D$4</f>
        <v>-17460.8743874748</v>
      </c>
    </row>
    <row r="34" customFormat="false" ht="15" hidden="false" customHeight="false" outlineLevel="0" collapsed="false">
      <c r="A34" s="0" t="s">
        <v>977</v>
      </c>
      <c r="B34" s="0" t="s">
        <v>26</v>
      </c>
      <c r="C34" s="2" t="n">
        <f aca="false">B12!C21+(-1.5)*Poultry!C247*(1-Inputs!C63)+(-150)*Poultry!C249*(1-Inputs!C65)</f>
        <v>-6672775.28554563</v>
      </c>
      <c r="D34" s="2" t="n">
        <f aca="false">B12!D21+(-1.5)*Poultry!D247*(1-Inputs!D63)+(-150)*Poultry!D249*(1-Inputs!D65)</f>
        <v>-2996470.9741891</v>
      </c>
      <c r="E34" s="2" t="n">
        <f aca="false">B12!E21+(-1.5)*Poultry!E247*(1-Inputs!E63)+(-150)*Poultry!E249*(1-Inputs!E65)</f>
        <v>459938.430941973</v>
      </c>
      <c r="F34" s="2" t="n">
        <f aca="false">D34/Inputs!$D$4</f>
        <v>-23069.2968988305</v>
      </c>
    </row>
    <row r="35" customFormat="false" ht="15" hidden="false" customHeight="false" outlineLevel="0" collapsed="false">
      <c r="A35" s="0" t="s">
        <v>978</v>
      </c>
      <c r="B35" s="0" t="s">
        <v>26</v>
      </c>
      <c r="C35" s="2" t="n">
        <f aca="false">B12!C21+(-1.5)*Poultry!C247*(1-Inputs!C63)+(-75)*Poultry!C249*(1-Inputs!C65)</f>
        <v>-6473389.28554563</v>
      </c>
      <c r="D35" s="2" t="n">
        <f aca="false">B12!D21+(-1.5)*Poultry!D247*(1-Inputs!D63)+(-75)*Poultry!D249*(1-Inputs!D65)</f>
        <v>-2772010.9741891</v>
      </c>
      <c r="E35" s="2" t="n">
        <f aca="false">B12!E21+(-1.5)*Poultry!E247*(1-Inputs!E63)+(-75)*Poultry!E249*(1-Inputs!E65)</f>
        <v>724952.130941973</v>
      </c>
      <c r="F35" s="2" t="n">
        <f aca="false">D35/Inputs!$D$4</f>
        <v>-21341.2192947039</v>
      </c>
    </row>
    <row r="36" customFormat="false" ht="15" hidden="false" customHeight="false" outlineLevel="0" collapsed="false">
      <c r="A36" s="0" t="s">
        <v>979</v>
      </c>
      <c r="B36" s="0" t="s">
        <v>26</v>
      </c>
      <c r="C36" s="2" t="n">
        <f aca="false">B12!C21+(-1.5)*Poultry!C247*(1-Inputs!C63)+(0)*Poultry!C249*(1-Inputs!C65)</f>
        <v>-6274003.28554563</v>
      </c>
      <c r="D36" s="2" t="n">
        <f aca="false">B12!D21+(-1.5)*Poultry!D247*(1-Inputs!D63)+(0)*Poultry!D249*(1-Inputs!D65)</f>
        <v>-2547550.9741891</v>
      </c>
      <c r="E36" s="2" t="n">
        <f aca="false">B12!E21+(-1.5)*Poultry!E247*(1-Inputs!E63)+(0)*Poultry!E249*(1-Inputs!E65)</f>
        <v>989965.830941973</v>
      </c>
      <c r="F36" s="2" t="n">
        <f aca="false">D36/Inputs!$D$4</f>
        <v>-19613.1416905774</v>
      </c>
    </row>
    <row r="37" customFormat="false" ht="15" hidden="false" customHeight="false" outlineLevel="0" collapsed="false">
      <c r="A37" s="0" t="s">
        <v>980</v>
      </c>
      <c r="B37" s="0" t="s">
        <v>26</v>
      </c>
      <c r="C37" s="2" t="n">
        <f aca="false">B12!C21+(-1.5)*Poultry!C247*(1-Inputs!C63)+(75)*Poultry!C249*(1-Inputs!C65)</f>
        <v>-6074617.28554563</v>
      </c>
      <c r="D37" s="2" t="n">
        <f aca="false">B12!D21+(-1.5)*Poultry!D247*(1-Inputs!D63)+(75)*Poultry!D249*(1-Inputs!D65)</f>
        <v>-2323090.9741891</v>
      </c>
      <c r="E37" s="2" t="n">
        <f aca="false">B12!E21+(-1.5)*Poultry!E247*(1-Inputs!E63)+(75)*Poultry!E249*(1-Inputs!E65)</f>
        <v>1254979.53094197</v>
      </c>
      <c r="F37" s="2" t="n">
        <f aca="false">D37/Inputs!$D$4</f>
        <v>-17885.0640864508</v>
      </c>
    </row>
    <row r="38" customFormat="false" ht="15" hidden="false" customHeight="false" outlineLevel="0" collapsed="false">
      <c r="A38" s="0" t="s">
        <v>981</v>
      </c>
      <c r="B38" s="0" t="s">
        <v>26</v>
      </c>
      <c r="C38" s="2" t="n">
        <f aca="false">B12!C21+(-1.5)*Poultry!C247*(1-Inputs!C63)+(150)*Poultry!C249*(1-Inputs!C65)</f>
        <v>-5875231.28554563</v>
      </c>
      <c r="D38" s="2" t="n">
        <f aca="false">B12!D21+(-1.5)*Poultry!D247*(1-Inputs!D63)+(150)*Poultry!D249*(1-Inputs!D65)</f>
        <v>-2098630.9741891</v>
      </c>
      <c r="E38" s="2" t="n">
        <f aca="false">B12!E21+(-1.5)*Poultry!E247*(1-Inputs!E63)+(150)*Poultry!E249*(1-Inputs!E65)</f>
        <v>1519993.23094197</v>
      </c>
      <c r="F38" s="2" t="n">
        <f aca="false">D38/Inputs!$D$4</f>
        <v>-16156.9864823242</v>
      </c>
    </row>
    <row r="39" customFormat="false" ht="15" hidden="false" customHeight="false" outlineLevel="0" collapsed="false">
      <c r="A39" s="0" t="s">
        <v>982</v>
      </c>
      <c r="B39" s="0" t="s">
        <v>26</v>
      </c>
      <c r="C39" s="2" t="n">
        <f aca="false">B12!C21+(0)*Poultry!C247*(1-Inputs!C63)+(-150)*Poultry!C249*(1-Inputs!C65)</f>
        <v>-6551124.08554563</v>
      </c>
      <c r="D39" s="2" t="n">
        <f aca="false">B12!D21+(0)*Poultry!D247*(1-Inputs!D63)+(-150)*Poultry!D249*(1-Inputs!D65)</f>
        <v>-2827108.9741891</v>
      </c>
      <c r="E39" s="2" t="n">
        <f aca="false">B12!E21+(0)*Poultry!E247*(1-Inputs!E63)+(-150)*Poultry!E249*(1-Inputs!E65)</f>
        <v>666326.430941973</v>
      </c>
      <c r="F39" s="2" t="n">
        <f aca="false">D39/Inputs!$D$4</f>
        <v>-21765.40899368</v>
      </c>
    </row>
    <row r="40" customFormat="false" ht="15" hidden="false" customHeight="false" outlineLevel="0" collapsed="false">
      <c r="A40" s="0" t="s">
        <v>983</v>
      </c>
      <c r="B40" s="0" t="s">
        <v>26</v>
      </c>
      <c r="C40" s="2" t="n">
        <f aca="false">B12!C21+(0)*Poultry!C247*(1-Inputs!C63)+(-75)*Poultry!C249*(1-Inputs!C65)</f>
        <v>-6351738.08554563</v>
      </c>
      <c r="D40" s="2" t="n">
        <f aca="false">B12!D21+(0)*Poultry!D247*(1-Inputs!D63)+(-75)*Poultry!D249*(1-Inputs!D65)</f>
        <v>-2602648.9741891</v>
      </c>
      <c r="E40" s="2" t="n">
        <f aca="false">B12!E21+(0)*Poultry!E247*(1-Inputs!E63)+(-75)*Poultry!E249*(1-Inputs!E65)</f>
        <v>931340.130941973</v>
      </c>
      <c r="F40" s="2" t="n">
        <f aca="false">D40/Inputs!$D$4</f>
        <v>-20037.3313895534</v>
      </c>
    </row>
    <row r="41" customFormat="false" ht="15" hidden="false" customHeight="false" outlineLevel="0" collapsed="false">
      <c r="A41" s="0" t="s">
        <v>984</v>
      </c>
      <c r="B41" s="0" t="s">
        <v>26</v>
      </c>
      <c r="C41" s="2" t="n">
        <f aca="false">B12!C21+(0)*Poultry!C247*(1-Inputs!C63)+(0)*Poultry!C249*(1-Inputs!C65)</f>
        <v>-6152352.08554563</v>
      </c>
      <c r="D41" s="2" t="n">
        <f aca="false">B12!D21+(0)*Poultry!D247*(1-Inputs!D63)+(0)*Poultry!D249*(1-Inputs!D65)</f>
        <v>-2378188.9741891</v>
      </c>
      <c r="E41" s="2" t="n">
        <f aca="false">B12!E21+(0)*Poultry!E247*(1-Inputs!E63)+(0)*Poultry!E249*(1-Inputs!E65)</f>
        <v>1196353.83094197</v>
      </c>
      <c r="F41" s="2" t="n">
        <f aca="false">D41/Inputs!$D$4</f>
        <v>-18309.2537854269</v>
      </c>
    </row>
    <row r="42" customFormat="false" ht="15" hidden="false" customHeight="false" outlineLevel="0" collapsed="false">
      <c r="A42" s="0" t="s">
        <v>985</v>
      </c>
      <c r="B42" s="0" t="s">
        <v>26</v>
      </c>
      <c r="C42" s="2" t="n">
        <f aca="false">B12!C21+(0)*Poultry!C247*(1-Inputs!C63)+(75)*Poultry!C249*(1-Inputs!C65)</f>
        <v>-5952966.08554563</v>
      </c>
      <c r="D42" s="2" t="n">
        <f aca="false">B12!D21+(0)*Poultry!D247*(1-Inputs!D63)+(75)*Poultry!D249*(1-Inputs!D65)</f>
        <v>-2153728.9741891</v>
      </c>
      <c r="E42" s="2" t="n">
        <f aca="false">B12!E21+(0)*Poultry!E247*(1-Inputs!E63)+(75)*Poultry!E249*(1-Inputs!E65)</f>
        <v>1461367.53094197</v>
      </c>
      <c r="F42" s="2" t="n">
        <f aca="false">D42/Inputs!$D$4</f>
        <v>-16581.1761813003</v>
      </c>
    </row>
    <row r="43" customFormat="false" ht="15" hidden="false" customHeight="false" outlineLevel="0" collapsed="false">
      <c r="A43" s="0" t="s">
        <v>986</v>
      </c>
      <c r="B43" s="0" t="s">
        <v>26</v>
      </c>
      <c r="C43" s="2" t="n">
        <f aca="false">B12!C21+(0)*Poultry!C247*(1-Inputs!C63)+(150)*Poultry!C249*(1-Inputs!C65)</f>
        <v>-5753580.08554563</v>
      </c>
      <c r="D43" s="2" t="n">
        <f aca="false">B12!D21+(0)*Poultry!D247*(1-Inputs!D63)+(150)*Poultry!D249*(1-Inputs!D65)</f>
        <v>-1929268.9741891</v>
      </c>
      <c r="E43" s="2" t="n">
        <f aca="false">B12!E21+(0)*Poultry!E247*(1-Inputs!E63)+(150)*Poultry!E249*(1-Inputs!E65)</f>
        <v>1726381.23094197</v>
      </c>
      <c r="F43" s="2" t="n">
        <f aca="false">D43/Inputs!$D$4</f>
        <v>-14853.0985771737</v>
      </c>
    </row>
    <row r="44" customFormat="false" ht="15" hidden="false" customHeight="false" outlineLevel="0" collapsed="false">
      <c r="A44" s="0" t="s">
        <v>987</v>
      </c>
      <c r="B44" s="0" t="s">
        <v>26</v>
      </c>
      <c r="C44" s="2" t="n">
        <f aca="false">B12!C21+(1.5)*Poultry!C247*(1-Inputs!C63)+(-150)*Poultry!C249*(1-Inputs!C65)</f>
        <v>-6429472.88554563</v>
      </c>
      <c r="D44" s="2" t="n">
        <f aca="false">B12!D21+(1.5)*Poultry!D247*(1-Inputs!D63)+(-150)*Poultry!D249*(1-Inputs!D65)</f>
        <v>-2657746.9741891</v>
      </c>
      <c r="E44" s="2" t="n">
        <f aca="false">B12!E21+(1.5)*Poultry!E247*(1-Inputs!E63)+(-150)*Poultry!E249*(1-Inputs!E65)</f>
        <v>872714.430941973</v>
      </c>
      <c r="F44" s="2" t="n">
        <f aca="false">D44/Inputs!$D$4</f>
        <v>-20461.5210885295</v>
      </c>
    </row>
    <row r="45" customFormat="false" ht="15" hidden="false" customHeight="false" outlineLevel="0" collapsed="false">
      <c r="A45" s="0" t="s">
        <v>988</v>
      </c>
      <c r="B45" s="0" t="s">
        <v>26</v>
      </c>
      <c r="C45" s="2" t="n">
        <f aca="false">B12!C21+(1.5)*Poultry!C247*(1-Inputs!C63)+(-75)*Poultry!C249*(1-Inputs!C65)</f>
        <v>-6230086.88554563</v>
      </c>
      <c r="D45" s="2" t="n">
        <f aca="false">B12!D21+(1.5)*Poultry!D247*(1-Inputs!D63)+(-75)*Poultry!D249*(1-Inputs!D65)</f>
        <v>-2433286.9741891</v>
      </c>
      <c r="E45" s="2" t="n">
        <f aca="false">B12!E21+(1.5)*Poultry!E247*(1-Inputs!E63)+(-75)*Poultry!E249*(1-Inputs!E65)</f>
        <v>1137728.13094197</v>
      </c>
      <c r="F45" s="2" t="n">
        <f aca="false">D45/Inputs!$D$4</f>
        <v>-18733.4434844029</v>
      </c>
    </row>
    <row r="46" customFormat="false" ht="15" hidden="false" customHeight="false" outlineLevel="0" collapsed="false">
      <c r="A46" s="0" t="s">
        <v>989</v>
      </c>
      <c r="B46" s="0" t="s">
        <v>26</v>
      </c>
      <c r="C46" s="2" t="n">
        <f aca="false">B12!C21+(1.5)*Poultry!C247*(1-Inputs!C63)+(0)*Poultry!C249*(1-Inputs!C65)</f>
        <v>-6030700.88554563</v>
      </c>
      <c r="D46" s="2" t="n">
        <f aca="false">B12!D21+(1.5)*Poultry!D247*(1-Inputs!D63)+(0)*Poultry!D249*(1-Inputs!D65)</f>
        <v>-2208826.9741891</v>
      </c>
      <c r="E46" s="2" t="n">
        <f aca="false">B12!E21+(1.5)*Poultry!E247*(1-Inputs!E63)+(0)*Poultry!E249*(1-Inputs!E65)</f>
        <v>1402741.83094197</v>
      </c>
      <c r="F46" s="2" t="n">
        <f aca="false">D46/Inputs!$D$4</f>
        <v>-17005.3658802764</v>
      </c>
    </row>
    <row r="47" customFormat="false" ht="15" hidden="false" customHeight="false" outlineLevel="0" collapsed="false">
      <c r="A47" s="0" t="s">
        <v>990</v>
      </c>
      <c r="B47" s="0" t="s">
        <v>26</v>
      </c>
      <c r="C47" s="2" t="n">
        <f aca="false">B12!C21+(1.5)*Poultry!C247*(1-Inputs!C63)+(75)*Poultry!C249*(1-Inputs!C65)</f>
        <v>-5831314.88554563</v>
      </c>
      <c r="D47" s="2" t="n">
        <f aca="false">B12!D21+(1.5)*Poultry!D247*(1-Inputs!D63)+(75)*Poultry!D249*(1-Inputs!D65)</f>
        <v>-1984366.9741891</v>
      </c>
      <c r="E47" s="2" t="n">
        <f aca="false">B12!E21+(1.5)*Poultry!E247*(1-Inputs!E63)+(75)*Poultry!E249*(1-Inputs!E65)</f>
        <v>1667755.53094197</v>
      </c>
      <c r="F47" s="2" t="n">
        <f aca="false">D47/Inputs!$D$4</f>
        <v>-15277.2882761498</v>
      </c>
    </row>
    <row r="48" customFormat="false" ht="15" hidden="false" customHeight="false" outlineLevel="0" collapsed="false">
      <c r="A48" s="0" t="s">
        <v>991</v>
      </c>
      <c r="B48" s="0" t="s">
        <v>26</v>
      </c>
      <c r="C48" s="2" t="n">
        <f aca="false">B12!C21+(1.5)*Poultry!C247*(1-Inputs!C63)+(150)*Poultry!C249*(1-Inputs!C65)</f>
        <v>-5631928.88554563</v>
      </c>
      <c r="D48" s="2" t="n">
        <f aca="false">B12!D21+(1.5)*Poultry!D247*(1-Inputs!D63)+(150)*Poultry!D249*(1-Inputs!D65)</f>
        <v>-1759906.9741891</v>
      </c>
      <c r="E48" s="2" t="n">
        <f aca="false">B12!E21+(1.5)*Poultry!E247*(1-Inputs!E63)+(150)*Poultry!E249*(1-Inputs!E65)</f>
        <v>1932769.23094197</v>
      </c>
      <c r="F48" s="2" t="n">
        <f aca="false">D48/Inputs!$D$4</f>
        <v>-13549.2106720232</v>
      </c>
    </row>
    <row r="49" customFormat="false" ht="15" hidden="false" customHeight="false" outlineLevel="0" collapsed="false">
      <c r="A49" s="0" t="s">
        <v>992</v>
      </c>
      <c r="B49" s="0" t="s">
        <v>26</v>
      </c>
      <c r="C49" s="2" t="n">
        <f aca="false">B12!C21+(3)*Poultry!C247*(1-Inputs!C63)+(-150)*Poultry!C249*(1-Inputs!C65)</f>
        <v>-6307821.68554563</v>
      </c>
      <c r="D49" s="2" t="n">
        <f aca="false">B12!D21+(3)*Poultry!D247*(1-Inputs!D63)+(-150)*Poultry!D249*(1-Inputs!D65)</f>
        <v>-2488384.9741891</v>
      </c>
      <c r="E49" s="2" t="n">
        <f aca="false">B12!E21+(3)*Poultry!E247*(1-Inputs!E63)+(-150)*Poultry!E249*(1-Inputs!E65)</f>
        <v>1079102.43094197</v>
      </c>
      <c r="F49" s="2" t="n">
        <f aca="false">D49/Inputs!$D$4</f>
        <v>-19157.633183379</v>
      </c>
    </row>
    <row r="50" customFormat="false" ht="15" hidden="false" customHeight="false" outlineLevel="0" collapsed="false">
      <c r="A50" s="0" t="s">
        <v>993</v>
      </c>
      <c r="B50" s="0" t="s">
        <v>26</v>
      </c>
      <c r="C50" s="2" t="n">
        <f aca="false">B12!C21+(3)*Poultry!C247*(1-Inputs!C63)+(-75)*Poultry!C249*(1-Inputs!C65)</f>
        <v>-6108435.68554563</v>
      </c>
      <c r="D50" s="2" t="n">
        <f aca="false">B12!D21+(3)*Poultry!D247*(1-Inputs!D63)+(-75)*Poultry!D249*(1-Inputs!D65)</f>
        <v>-2263924.9741891</v>
      </c>
      <c r="E50" s="2" t="n">
        <f aca="false">B12!E21+(3)*Poultry!E247*(1-Inputs!E63)+(-75)*Poultry!E249*(1-Inputs!E65)</f>
        <v>1344116.13094197</v>
      </c>
      <c r="F50" s="2" t="n">
        <f aca="false">D50/Inputs!$D$4</f>
        <v>-17429.5555792524</v>
      </c>
    </row>
    <row r="51" customFormat="false" ht="15" hidden="false" customHeight="false" outlineLevel="0" collapsed="false">
      <c r="A51" s="0" t="s">
        <v>994</v>
      </c>
      <c r="B51" s="0" t="s">
        <v>26</v>
      </c>
      <c r="C51" s="2" t="n">
        <f aca="false">B12!C21+(3)*Poultry!C247*(1-Inputs!C63)+(0)*Poultry!C249*(1-Inputs!C65)</f>
        <v>-5909049.68554563</v>
      </c>
      <c r="D51" s="2" t="n">
        <f aca="false">B12!D21+(3)*Poultry!D247*(1-Inputs!D63)+(0)*Poultry!D249*(1-Inputs!D65)</f>
        <v>-2039464.9741891</v>
      </c>
      <c r="E51" s="2" t="n">
        <f aca="false">B12!E21+(3)*Poultry!E247*(1-Inputs!E63)+(0)*Poultry!E249*(1-Inputs!E65)</f>
        <v>1609129.83094197</v>
      </c>
      <c r="F51" s="2" t="n">
        <f aca="false">D51/Inputs!$D$4</f>
        <v>-15701.4779751258</v>
      </c>
    </row>
    <row r="52" customFormat="false" ht="15" hidden="false" customHeight="false" outlineLevel="0" collapsed="false">
      <c r="A52" s="0" t="s">
        <v>995</v>
      </c>
      <c r="B52" s="0" t="s">
        <v>26</v>
      </c>
      <c r="C52" s="2" t="n">
        <f aca="false">B12!C21+(3)*Poultry!C247*(1-Inputs!C63)+(75)*Poultry!C249*(1-Inputs!C65)</f>
        <v>-5709663.68554563</v>
      </c>
      <c r="D52" s="2" t="n">
        <f aca="false">B12!D21+(3)*Poultry!D247*(1-Inputs!D63)+(75)*Poultry!D249*(1-Inputs!D65)</f>
        <v>-1815004.9741891</v>
      </c>
      <c r="E52" s="2" t="n">
        <f aca="false">B12!E21+(3)*Poultry!E247*(1-Inputs!E63)+(75)*Poultry!E249*(1-Inputs!E65)</f>
        <v>1874143.53094197</v>
      </c>
      <c r="F52" s="2" t="n">
        <f aca="false">D52/Inputs!$D$4</f>
        <v>-13973.4003709993</v>
      </c>
    </row>
    <row r="53" customFormat="false" ht="15" hidden="false" customHeight="false" outlineLevel="0" collapsed="false">
      <c r="A53" s="0" t="s">
        <v>996</v>
      </c>
      <c r="B53" s="0" t="s">
        <v>26</v>
      </c>
      <c r="C53" s="2" t="n">
        <f aca="false">B12!C21+(3)*Poultry!C247*(1-Inputs!C63)+(150)*Poultry!C249*(1-Inputs!C65)</f>
        <v>-5510277.68554563</v>
      </c>
      <c r="D53" s="2" t="n">
        <f aca="false">B12!D21+(3)*Poultry!D247*(1-Inputs!D63)+(150)*Poultry!D249*(1-Inputs!D65)</f>
        <v>-1590544.9741891</v>
      </c>
      <c r="E53" s="2" t="n">
        <f aca="false">B12!E21+(3)*Poultry!E247*(1-Inputs!E63)+(150)*Poultry!E249*(1-Inputs!E65)</f>
        <v>2139157.23094197</v>
      </c>
      <c r="F53" s="2" t="n">
        <f aca="false">D53/Inputs!$D$4</f>
        <v>-12245.3227668727</v>
      </c>
    </row>
    <row r="54" customFormat="false" ht="15" hidden="false" customHeight="false" outlineLevel="0" collapsed="false">
      <c r="A54" s="4" t="s">
        <v>997</v>
      </c>
      <c r="B54" s="5"/>
      <c r="C54" s="5"/>
      <c r="D54" s="5"/>
      <c r="E54" s="5"/>
      <c r="F54" s="5"/>
      <c r="G54" s="5"/>
    </row>
    <row r="55" customFormat="false" ht="15" hidden="false" customHeight="false" outlineLevel="0" collapsed="false">
      <c r="A55" s="0" t="s">
        <v>998</v>
      </c>
      <c r="B55" s="0" t="s">
        <v>26</v>
      </c>
      <c r="C55" s="2" t="n">
        <f aca="false">B12!C21-(-20/100)*Farm_PnL!C59</f>
        <v>-5415316.44268849</v>
      </c>
      <c r="D55" s="2" t="n">
        <f aca="false">B12!D21-(-20/100)*Farm_PnL!D59</f>
        <v>-1814058.83754313</v>
      </c>
      <c r="E55" s="2" t="n">
        <f aca="false">B12!E21-(-20/100)*Farm_PnL!E59</f>
        <v>1647394.56346477</v>
      </c>
      <c r="F55" s="2" t="n">
        <f aca="false">D55/Inputs!$D$4</f>
        <v>-13966.1162332984</v>
      </c>
    </row>
    <row r="56" customFormat="false" ht="15" hidden="false" customHeight="false" outlineLevel="0" collapsed="false">
      <c r="A56" s="0" t="s">
        <v>999</v>
      </c>
      <c r="B56" s="0" t="s">
        <v>26</v>
      </c>
      <c r="C56" s="2" t="n">
        <f aca="false">B12!C21-(-10/100)*Farm_PnL!C59</f>
        <v>-5783834.26411706</v>
      </c>
      <c r="D56" s="2" t="n">
        <f aca="false">B12!D21-(-10/100)*Farm_PnL!D59</f>
        <v>-2096123.90586611</v>
      </c>
      <c r="E56" s="2" t="n">
        <f aca="false">B12!E21-(-10/100)*Farm_PnL!E59</f>
        <v>1421874.19720337</v>
      </c>
      <c r="F56" s="2" t="n">
        <f aca="false">D56/Inputs!$D$4</f>
        <v>-16137.6850093627</v>
      </c>
    </row>
    <row r="57" customFormat="false" ht="15" hidden="false" customHeight="false" outlineLevel="0" collapsed="false">
      <c r="A57" s="0" t="s">
        <v>1000</v>
      </c>
      <c r="B57" s="0" t="s">
        <v>26</v>
      </c>
      <c r="C57" s="2" t="n">
        <f aca="false">B12!C21-(0/100)*Farm_PnL!C59</f>
        <v>-6152352.08554563</v>
      </c>
      <c r="D57" s="2" t="n">
        <f aca="false">B12!D21-(0/100)*Farm_PnL!D59</f>
        <v>-2378188.9741891</v>
      </c>
      <c r="E57" s="2" t="n">
        <f aca="false">B12!E21-(0/100)*Farm_PnL!E59</f>
        <v>1196353.83094197</v>
      </c>
      <c r="F57" s="2" t="n">
        <f aca="false">D57/Inputs!$D$4</f>
        <v>-18309.2537854269</v>
      </c>
    </row>
    <row r="58" customFormat="false" ht="15" hidden="false" customHeight="false" outlineLevel="0" collapsed="false">
      <c r="A58" s="0" t="s">
        <v>1001</v>
      </c>
      <c r="B58" s="0" t="s">
        <v>26</v>
      </c>
      <c r="C58" s="2" t="n">
        <f aca="false">B12!C21-(10/100)*Farm_PnL!C59</f>
        <v>-6520869.90697421</v>
      </c>
      <c r="D58" s="2" t="n">
        <f aca="false">B12!D21-(10/100)*Farm_PnL!D59</f>
        <v>-2660254.04251208</v>
      </c>
      <c r="E58" s="2" t="n">
        <f aca="false">B12!E21-(10/100)*Farm_PnL!E59</f>
        <v>970833.464680575</v>
      </c>
      <c r="F58" s="2" t="n">
        <f aca="false">D58/Inputs!$D$4</f>
        <v>-20480.8225614911</v>
      </c>
    </row>
    <row r="59" customFormat="false" ht="15" hidden="false" customHeight="false" outlineLevel="0" collapsed="false">
      <c r="A59" s="0" t="s">
        <v>1002</v>
      </c>
      <c r="B59" s="0" t="s">
        <v>26</v>
      </c>
      <c r="C59" s="2" t="n">
        <f aca="false">B12!C21-(20/100)*Farm_PnL!C59</f>
        <v>-6889387.72840278</v>
      </c>
      <c r="D59" s="2" t="n">
        <f aca="false">B12!D21-(20/100)*Farm_PnL!D59</f>
        <v>-2942319.11083506</v>
      </c>
      <c r="E59" s="2" t="n">
        <f aca="false">B12!E21-(20/100)*Farm_PnL!E59</f>
        <v>745313.098419177</v>
      </c>
      <c r="F59" s="2" t="n">
        <f aca="false">D59/Inputs!$D$4</f>
        <v>-22652.3913375553</v>
      </c>
    </row>
    <row r="60" customFormat="false" ht="15" hidden="false" customHeight="false" outlineLevel="0" collapsed="false">
      <c r="A60" s="4" t="s">
        <v>1003</v>
      </c>
      <c r="B60" s="5"/>
      <c r="C60" s="5"/>
      <c r="D60" s="5"/>
      <c r="E60" s="5"/>
      <c r="F60" s="5"/>
      <c r="G60" s="5"/>
    </row>
    <row r="61" customFormat="false" ht="15" hidden="false" customHeight="false" outlineLevel="0" collapsed="false">
      <c r="A61" s="0" t="s">
        <v>1004</v>
      </c>
      <c r="B61" s="0" t="s">
        <v>26</v>
      </c>
      <c r="C61" s="2" t="n">
        <f aca="false">B12!C21+(Inputs!C248-12000)*36*(1+Inputs!C251+Inputs!C252)</f>
        <v>-5765352.08554563</v>
      </c>
      <c r="D61" s="2" t="n">
        <f aca="false">B12!D21+(Inputs!D248-12000)*36*(1+Inputs!D251+Inputs!D252)</f>
        <v>-1991188.9741891</v>
      </c>
      <c r="E61" s="2" t="n">
        <f aca="false">B12!E21+(Inputs!E248-12000)*36*(1+Inputs!E251+Inputs!E252)</f>
        <v>1583353.83094197</v>
      </c>
      <c r="F61" s="2" t="n">
        <f aca="false">D61/Inputs!$D$4</f>
        <v>-15329.8096403811</v>
      </c>
    </row>
    <row r="62" customFormat="false" ht="15" hidden="false" customHeight="false" outlineLevel="0" collapsed="false">
      <c r="A62" s="0" t="s">
        <v>1005</v>
      </c>
      <c r="B62" s="0" t="s">
        <v>26</v>
      </c>
      <c r="C62" s="2" t="n">
        <f aca="false">B12!C21+(Inputs!C248-15000)*36*(1+Inputs!C251+Inputs!C252)</f>
        <v>-5881452.08554563</v>
      </c>
      <c r="D62" s="2" t="n">
        <f aca="false">B12!D21+(Inputs!D248-15000)*36*(1+Inputs!D251+Inputs!D252)</f>
        <v>-2107288.9741891</v>
      </c>
      <c r="E62" s="2" t="n">
        <f aca="false">B12!E21+(Inputs!E248-15000)*36*(1+Inputs!E251+Inputs!E252)</f>
        <v>1467253.83094197</v>
      </c>
      <c r="F62" s="2" t="n">
        <f aca="false">D62/Inputs!$D$4</f>
        <v>-16223.6428838948</v>
      </c>
    </row>
    <row r="63" customFormat="false" ht="15" hidden="false" customHeight="false" outlineLevel="0" collapsed="false">
      <c r="A63" s="0" t="s">
        <v>1006</v>
      </c>
      <c r="B63" s="0" t="s">
        <v>26</v>
      </c>
      <c r="C63" s="2" t="n">
        <f aca="false">B12!C21+(Inputs!C248-18000)*36*(1+Inputs!C251+Inputs!C252)</f>
        <v>-5997552.08554563</v>
      </c>
      <c r="D63" s="2" t="n">
        <f aca="false">B12!D21+(Inputs!D248-18000)*36*(1+Inputs!D251+Inputs!D252)</f>
        <v>-2223388.9741891</v>
      </c>
      <c r="E63" s="2" t="n">
        <f aca="false">B12!E21+(Inputs!E248-18000)*36*(1+Inputs!E251+Inputs!E252)</f>
        <v>1351153.83094197</v>
      </c>
      <c r="F63" s="2" t="n">
        <f aca="false">D63/Inputs!$D$4</f>
        <v>-17117.4761274085</v>
      </c>
    </row>
    <row r="64" customFormat="false" ht="15" hidden="false" customHeight="false" outlineLevel="0" collapsed="false">
      <c r="A64" s="0" t="s">
        <v>1007</v>
      </c>
      <c r="B64" s="0" t="s">
        <v>26</v>
      </c>
      <c r="C64" s="2" t="n">
        <f aca="false">B12!C21+(Inputs!C248-22000)*36*(1+Inputs!C251+Inputs!C252)</f>
        <v>-6152352.08554563</v>
      </c>
      <c r="D64" s="2" t="n">
        <f aca="false">B12!D21+(Inputs!D248-22000)*36*(1+Inputs!D251+Inputs!D252)</f>
        <v>-2378188.9741891</v>
      </c>
      <c r="E64" s="2" t="n">
        <f aca="false">B12!E21+(Inputs!E248-22000)*36*(1+Inputs!E251+Inputs!E252)</f>
        <v>1196353.83094197</v>
      </c>
      <c r="F64" s="2" t="n">
        <f aca="false">D64/Inputs!$D$4</f>
        <v>-18309.2537854269</v>
      </c>
    </row>
    <row r="65" customFormat="false" ht="15" hidden="false" customHeight="false" outlineLevel="0" collapsed="false">
      <c r="A65" s="0" t="s">
        <v>1008</v>
      </c>
      <c r="B65" s="0" t="s">
        <v>26</v>
      </c>
      <c r="C65" s="2" t="n">
        <f aca="false">B12!C21+(Inputs!C248-26000)*36*(1+Inputs!C251+Inputs!C252)</f>
        <v>-6307152.08554563</v>
      </c>
      <c r="D65" s="2" t="n">
        <f aca="false">B12!D21+(Inputs!D248-26000)*36*(1+Inputs!D251+Inputs!D252)</f>
        <v>-2532988.9741891</v>
      </c>
      <c r="E65" s="2" t="n">
        <f aca="false">B12!E21+(Inputs!E248-26000)*36*(1+Inputs!E251+Inputs!E252)</f>
        <v>1041553.83094197</v>
      </c>
      <c r="F65" s="2" t="n">
        <f aca="false">D65/Inputs!$D$4</f>
        <v>-19501.0314434452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70"/>
    <col collapsed="false" customWidth="true" hidden="false" outlineLevel="0" max="4" min="4" style="0" width="36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1009</v>
      </c>
    </row>
    <row r="2" customFormat="false" ht="15" hidden="false" customHeight="false" outlineLevel="0" collapsed="false">
      <c r="A2" s="19" t="s">
        <v>1010</v>
      </c>
      <c r="B2" s="19" t="s">
        <v>172</v>
      </c>
      <c r="C2" s="19" t="s">
        <v>1011</v>
      </c>
      <c r="D2" s="19" t="s">
        <v>1012</v>
      </c>
      <c r="E2" s="19" t="s">
        <v>1013</v>
      </c>
    </row>
    <row r="3" customFormat="false" ht="15" hidden="false" customHeight="false" outlineLevel="0" collapsed="false">
      <c r="A3" s="0" t="n">
        <v>1</v>
      </c>
      <c r="B3" s="0" t="s">
        <v>1014</v>
      </c>
      <c r="C3" s="0" t="s">
        <v>1015</v>
      </c>
      <c r="D3" s="0" t="s">
        <v>1016</v>
      </c>
      <c r="E3" s="0" t="n">
        <v>1</v>
      </c>
    </row>
    <row r="4" customFormat="false" ht="15" hidden="false" customHeight="false" outlineLevel="0" collapsed="false">
      <c r="A4" s="0" t="n">
        <v>2</v>
      </c>
      <c r="B4" s="0" t="s">
        <v>1017</v>
      </c>
      <c r="C4" s="0" t="s">
        <v>1018</v>
      </c>
      <c r="D4" s="0" t="s">
        <v>1019</v>
      </c>
      <c r="E4" s="0" t="n">
        <v>1</v>
      </c>
    </row>
    <row r="5" customFormat="false" ht="15" hidden="false" customHeight="false" outlineLevel="0" collapsed="false">
      <c r="A5" s="0" t="n">
        <v>3</v>
      </c>
      <c r="B5" s="0" t="s">
        <v>1020</v>
      </c>
      <c r="C5" s="0" t="s">
        <v>1021</v>
      </c>
      <c r="D5" s="0" t="s">
        <v>1022</v>
      </c>
      <c r="E5" s="0" t="n">
        <v>1</v>
      </c>
    </row>
    <row r="6" customFormat="false" ht="15" hidden="false" customHeight="false" outlineLevel="0" collapsed="false">
      <c r="A6" s="0" t="n">
        <v>4</v>
      </c>
      <c r="B6" s="0" t="s">
        <v>1023</v>
      </c>
      <c r="C6" s="0" t="s">
        <v>1024</v>
      </c>
      <c r="D6" s="0" t="s">
        <v>1025</v>
      </c>
      <c r="E6" s="0" t="n">
        <v>1</v>
      </c>
    </row>
    <row r="7" customFormat="false" ht="15" hidden="false" customHeight="false" outlineLevel="0" collapsed="false">
      <c r="A7" s="0" t="n">
        <v>5</v>
      </c>
      <c r="B7" s="0" t="s">
        <v>1026</v>
      </c>
      <c r="C7" s="0" t="s">
        <v>1027</v>
      </c>
      <c r="D7" s="0" t="s">
        <v>1028</v>
      </c>
      <c r="E7" s="0" t="n">
        <v>2</v>
      </c>
    </row>
    <row r="8" customFormat="false" ht="15" hidden="false" customHeight="false" outlineLevel="0" collapsed="false">
      <c r="A8" s="0" t="n">
        <v>6</v>
      </c>
      <c r="B8" s="0" t="s">
        <v>1029</v>
      </c>
      <c r="C8" s="0" t="s">
        <v>1030</v>
      </c>
      <c r="D8" s="0" t="s">
        <v>1031</v>
      </c>
      <c r="E8" s="0" t="n">
        <v>2</v>
      </c>
    </row>
    <row r="9" customFormat="false" ht="15" hidden="false" customHeight="false" outlineLevel="0" collapsed="false">
      <c r="A9" s="0" t="n">
        <v>7</v>
      </c>
      <c r="B9" s="0" t="s">
        <v>1032</v>
      </c>
      <c r="C9" s="0" t="s">
        <v>1033</v>
      </c>
      <c r="D9" s="0" t="s">
        <v>1034</v>
      </c>
      <c r="E9" s="0" t="n">
        <v>8</v>
      </c>
    </row>
    <row r="10" customFormat="false" ht="15" hidden="false" customHeight="false" outlineLevel="0" collapsed="false">
      <c r="A10" s="0" t="n">
        <v>8</v>
      </c>
      <c r="B10" s="0" t="s">
        <v>1035</v>
      </c>
      <c r="C10" s="0" t="s">
        <v>1036</v>
      </c>
      <c r="D10" s="0" t="s">
        <v>1037</v>
      </c>
      <c r="E10" s="0" t="n">
        <v>8</v>
      </c>
    </row>
    <row r="11" customFormat="false" ht="15" hidden="false" customHeight="false" outlineLevel="0" collapsed="false">
      <c r="A11" s="0" t="n">
        <v>9</v>
      </c>
      <c r="B11" s="0" t="s">
        <v>1038</v>
      </c>
      <c r="C11" s="0" t="s">
        <v>1036</v>
      </c>
      <c r="D11" s="0" t="s">
        <v>1039</v>
      </c>
      <c r="E11" s="0" t="n">
        <v>8</v>
      </c>
    </row>
    <row r="12" customFormat="false" ht="15" hidden="false" customHeight="false" outlineLevel="0" collapsed="false">
      <c r="A12" s="0" t="n">
        <v>10</v>
      </c>
      <c r="B12" s="0" t="s">
        <v>1040</v>
      </c>
      <c r="C12" s="0" t="s">
        <v>1041</v>
      </c>
      <c r="D12" s="0" t="s">
        <v>1042</v>
      </c>
      <c r="E12" s="0" t="n">
        <v>4</v>
      </c>
    </row>
    <row r="13" customFormat="false" ht="15" hidden="false" customHeight="false" outlineLevel="0" collapsed="false">
      <c r="A13" s="0" t="n">
        <v>11</v>
      </c>
      <c r="B13" s="0" t="s">
        <v>1043</v>
      </c>
      <c r="C13" s="0" t="s">
        <v>1044</v>
      </c>
      <c r="D13" s="0" t="s">
        <v>1045</v>
      </c>
      <c r="E13" s="0" t="n">
        <v>8</v>
      </c>
    </row>
    <row r="14" customFormat="false" ht="15" hidden="false" customHeight="false" outlineLevel="0" collapsed="false">
      <c r="A14" s="0" t="n">
        <v>12</v>
      </c>
      <c r="B14" s="0" t="s">
        <v>1046</v>
      </c>
      <c r="C14" s="0" t="s">
        <v>1047</v>
      </c>
      <c r="D14" s="0" t="s">
        <v>1048</v>
      </c>
      <c r="E14" s="0" t="n">
        <v>8</v>
      </c>
    </row>
    <row r="15" customFormat="false" ht="15" hidden="false" customHeight="false" outlineLevel="0" collapsed="false">
      <c r="A15" s="0" t="n">
        <v>13</v>
      </c>
      <c r="B15" s="0" t="s">
        <v>1049</v>
      </c>
      <c r="C15" s="0" t="s">
        <v>1050</v>
      </c>
      <c r="D15" s="0" t="s">
        <v>1051</v>
      </c>
      <c r="E15" s="0" t="n">
        <v>6</v>
      </c>
    </row>
    <row r="16" customFormat="false" ht="15" hidden="false" customHeight="false" outlineLevel="0" collapsed="false">
      <c r="A16" s="0" t="n">
        <v>14</v>
      </c>
      <c r="B16" s="0" t="s">
        <v>1052</v>
      </c>
      <c r="C16" s="0" t="s">
        <v>1053</v>
      </c>
      <c r="D16" s="0" t="s">
        <v>1054</v>
      </c>
      <c r="E16" s="0" t="n">
        <v>4</v>
      </c>
    </row>
    <row r="17" customFormat="false" ht="15" hidden="false" customHeight="false" outlineLevel="0" collapsed="false">
      <c r="A17" s="0" t="n">
        <v>15</v>
      </c>
      <c r="B17" s="0" t="s">
        <v>1055</v>
      </c>
      <c r="C17" s="0" t="s">
        <v>1056</v>
      </c>
      <c r="D17" s="0" t="s">
        <v>1057</v>
      </c>
      <c r="E17" s="0" t="n">
        <v>6</v>
      </c>
    </row>
    <row r="18" customFormat="false" ht="15" hidden="false" customHeight="false" outlineLevel="0" collapsed="false">
      <c r="A18" s="0" t="n">
        <v>16</v>
      </c>
      <c r="B18" s="0" t="s">
        <v>1058</v>
      </c>
      <c r="C18" s="0" t="s">
        <v>1059</v>
      </c>
      <c r="D18" s="0" t="s">
        <v>1060</v>
      </c>
      <c r="E18" s="0" t="n">
        <v>6</v>
      </c>
    </row>
    <row r="19" customFormat="false" ht="15" hidden="false" customHeight="false" outlineLevel="0" collapsed="false">
      <c r="A19" s="0" t="n">
        <v>17</v>
      </c>
      <c r="B19" s="0" t="s">
        <v>1061</v>
      </c>
      <c r="C19" s="0" t="s">
        <v>1062</v>
      </c>
      <c r="D19" s="0" t="s">
        <v>1063</v>
      </c>
      <c r="E19" s="0" t="n">
        <v>6</v>
      </c>
    </row>
    <row r="20" customFormat="false" ht="15" hidden="false" customHeight="false" outlineLevel="0" collapsed="false">
      <c r="A20" s="0" t="n">
        <v>18</v>
      </c>
      <c r="B20" s="0" t="s">
        <v>1064</v>
      </c>
      <c r="C20" s="0" t="s">
        <v>1065</v>
      </c>
      <c r="D20" s="0" t="s">
        <v>1066</v>
      </c>
      <c r="E20" s="0" t="n">
        <v>8</v>
      </c>
    </row>
    <row r="21" customFormat="false" ht="15" hidden="false" customHeight="false" outlineLevel="0" collapsed="false">
      <c r="A21" s="0" t="n">
        <v>19</v>
      </c>
      <c r="B21" s="0" t="s">
        <v>1067</v>
      </c>
      <c r="C21" s="0" t="s">
        <v>1068</v>
      </c>
      <c r="D21" s="0" t="s">
        <v>1069</v>
      </c>
      <c r="E21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2026-10-15T06:35:45Z</dcterms:created>
  <dc:creator>openpyxl</dc:creator>
  <dc:description/>
  <dc:language>en-US</dc:language>
  <cp:lastModifiedBy/>
  <dcterms:modified xsi:type="dcterms:W3CDTF">2026-10-15T06:35:45Z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