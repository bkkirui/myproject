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arios" sheetId="2" state="visible" r:id="rId4"/>
    <sheet name="Inputs" sheetId="3" state="visible" r:id="rId5"/>
    <sheet name="Cattle" sheetId="4" state="visible" r:id="rId6"/>
    <sheet name="Sheep" sheetId="5" state="visible" r:id="rId7"/>
    <sheet name="Goats" sheetId="6" state="visible" r:id="rId8"/>
    <sheet name="Layers" sheetId="7" state="visible" r:id="rId9"/>
    <sheet name="OtherPoultry" sheetId="8" state="visible" r:id="rId10"/>
    <sheet name="Labour" sheetId="9" state="visible" r:id="rId11"/>
    <sheet name="Overhead" sheetId="10" state="visible" r:id="rId12"/>
    <sheet name="Farm_PnL" sheetId="11" state="visible" r:id="rId13"/>
    <sheet name="B12" sheetId="12" state="visible" r:id="rId14"/>
    <sheet name="Collect_8wk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<sst xmlns="http://schemas.openxmlformats.org/spreadsheetml/2006/main" count="1297" uniqueCount="611">
  <si>
    <t xml:space="preserve">G1 economics model - Borut, Bomet. Built 2026-10-15. All amounts KES; USD at CBK rate on Inputs.</t>
  </si>
  <si>
    <t xml:space="preserve">Low = adverse case, Base, High = favourable. Every calculated cell is a live formula; change blue cells on Inputs (or Overhead).</t>
  </si>
  <si>
    <t xml:space="preserve">Tags: SOURCED (published figure with URL on Inputs/doc), BENCHMARK (published figure of uncertain date/area, or standard convention), ASSUMED (no source; replace with measured data).</t>
  </si>
  <si>
    <t xml:space="preserve">Sheets: Inputs &gt; Cattle, Sheep, Goats, Layers, OtherPoultry &gt; Labour &gt; Overhead &gt; Farm_PnL &gt; B12 &gt; Scenarios &gt; Collect_8wk.</t>
  </si>
  <si>
    <t xml:space="preserve">No farm accounts exist, so the PLAN's 'last year's revenue' screen is replaced by this benchmark-based screen. It is a screen, not a forecast.</t>
  </si>
  <si>
    <t xml:space="preserve">Land: freehold title unclear. Lease and sale are excluded from the executable ranking unless Inputs 'title_ok' = 1 (lawyer to confirm).</t>
  </si>
  <si>
    <t xml:space="preserve">Crops are not modelled (no data); purchased feed may be overstated if the farm grows its own fodder, understated if grazing is short.</t>
  </si>
  <si>
    <t xml:space="preserve">Scenario summary: Low (adverse) / Base / High (favourable). KES with USD for base</t>
  </si>
  <si>
    <t xml:space="preserve">Line</t>
  </si>
  <si>
    <t xml:space="preserve">Unit</t>
  </si>
  <si>
    <t xml:space="preserve">Low (adverse)</t>
  </si>
  <si>
    <t xml:space="preserve">Base</t>
  </si>
  <si>
    <t xml:space="preserve">High (favourable)</t>
  </si>
  <si>
    <t xml:space="preserve">Base in USD</t>
  </si>
  <si>
    <t xml:space="preserve">Note</t>
  </si>
  <si>
    <t xml:space="preserve">Revenue and margin</t>
  </si>
  <si>
    <t xml:space="preserve">Revenue</t>
  </si>
  <si>
    <t xml:space="preserve">KES</t>
  </si>
  <si>
    <t xml:space="preserve">Variable costs</t>
  </si>
  <si>
    <t xml:space="preserve">Gross margin</t>
  </si>
  <si>
    <t xml:space="preserve">Hired labour</t>
  </si>
  <si>
    <t xml:space="preserve">Labour + fixed costs</t>
  </si>
  <si>
    <t xml:space="preserve">OMBM</t>
  </si>
  <si>
    <t xml:space="preserve">Cash margin (OMBM + depreciation)</t>
  </si>
  <si>
    <t xml:space="preserve">OMBM % of revenue</t>
  </si>
  <si>
    <t xml:space="preserve">%</t>
  </si>
  <si>
    <t xml:space="preserve">Gross margin by enterprise</t>
  </si>
  <si>
    <t xml:space="preserve">Cattle and dairy</t>
  </si>
  <si>
    <t xml:space="preserve">Sheep</t>
  </si>
  <si>
    <t xml:space="preserve">Goats</t>
  </si>
  <si>
    <t xml:space="preserve">Layers</t>
  </si>
  <si>
    <t xml:space="preserve">Kienyeji, ducks, guinea fowl, geese</t>
  </si>
  <si>
    <t xml:space="preserve">Gross margin per task hour</t>
  </si>
  <si>
    <t xml:space="preserve">KES/h</t>
  </si>
  <si>
    <t xml:space="preserve">Other poultry</t>
  </si>
  <si>
    <t xml:space="preserve">Overhead structure</t>
  </si>
  <si>
    <t xml:space="preserve">PLAN generic controls</t>
  </si>
  <si>
    <t xml:space="preserve">PLAN manager + deputy</t>
  </si>
  <si>
    <t xml:space="preserve">Generic controls + management as multiple of OMBM</t>
  </si>
  <si>
    <t xml:space="preserve">x</t>
  </si>
  <si>
    <t xml:space="preserve">Right-sized controls</t>
  </si>
  <si>
    <t xml:space="preserve">Supervisor stipend</t>
  </si>
  <si>
    <t xml:space="preserve">B12 values (annual after-risk income)</t>
  </si>
  <si>
    <t xml:space="preserve">Self-run (PLAN generic)</t>
  </si>
  <si>
    <t xml:space="preserve">Owner-operator, simplified controls</t>
  </si>
  <si>
    <t xml:space="preserve">Lease</t>
  </si>
  <si>
    <t xml:space="preserve">Sale</t>
  </si>
  <si>
    <t xml:space="preserve">Winner, ranking A (all options)</t>
  </si>
  <si>
    <t xml:space="preserve">Winner, ranking B (executable pre-title)</t>
  </si>
  <si>
    <t xml:space="preserve">Break-even</t>
  </si>
  <si>
    <t xml:space="preserve">Option 2 break-even revenue (value = 0)</t>
  </si>
  <si>
    <t xml:space="preserve">Option 2 cash-only break-even revenue</t>
  </si>
  <si>
    <t xml:space="preserve">Option 1 break-even revenue</t>
  </si>
  <si>
    <t xml:space="preserve">Owner hours/yr, option 2</t>
  </si>
  <si>
    <t xml:space="preserve">h</t>
  </si>
  <si>
    <t xml:space="preserve">Owner hours per week, option 2</t>
  </si>
  <si>
    <t xml:space="preserve">h/wk</t>
  </si>
  <si>
    <t xml:space="preserve">INPUTS - KES unless stated. Columns: Low = adverse case, Base, High = favourable case. Blue = editable input. Tag: SOURCED / BENCHMARK / ASSUMED.</t>
  </si>
  <si>
    <t xml:space="preserve">Parameter</t>
  </si>
  <si>
    <t xml:space="preserve">Tag</t>
  </si>
  <si>
    <t xml:space="preserve">Source / note (accessed 2026-10-15 unless stated)</t>
  </si>
  <si>
    <t xml:space="preserve">General</t>
  </si>
  <si>
    <t xml:space="preserve">Exchange rate</t>
  </si>
  <si>
    <t xml:space="preserve">KES per USD</t>
  </si>
  <si>
    <t xml:space="preserve">SOURCED</t>
  </si>
  <si>
    <t xml:space="preserve">CBK indicative rate posted 7 Oct 2026 (centralbank.go.ke via web search; confirm daily rate)</t>
  </si>
  <si>
    <t xml:space="preserve">Declared real return on cash proceeds</t>
  </si>
  <si>
    <t xml:space="preserve">% p.a.</t>
  </si>
  <si>
    <t xml:space="preserve">ASSUMED</t>
  </si>
  <si>
    <t xml:space="preserve">B12 default 2%</t>
  </si>
  <si>
    <t xml:space="preserve">Real change in land value g</t>
  </si>
  <si>
    <t xml:space="preserve">B12 default +1%; no local land-value series found</t>
  </si>
  <si>
    <t xml:space="preserve">Risk charge on capital at risk</t>
  </si>
  <si>
    <t xml:space="preserve">BENCHMARK</t>
  </si>
  <si>
    <t xml:space="preserve">B12 default 3-5%</t>
  </si>
  <si>
    <t xml:space="preserve">Owner hourly shadow price p</t>
  </si>
  <si>
    <t xml:space="preserve">Owner's occupation unknown; PLAN uses 50 (units unstated). Test sensitivity</t>
  </si>
  <si>
    <t xml:space="preserve">Selling cost + tax on sale</t>
  </si>
  <si>
    <t xml:space="preserve">B12 default 5%; accountant to quantify (capital gains tax etc.)</t>
  </si>
  <si>
    <t xml:space="preserve">Herd / flock (counts from owner intake; species split of poultry ASSUMED)</t>
  </si>
  <si>
    <t xml:space="preserve">Cattle (head)</t>
  </si>
  <si>
    <t xml:space="preserve">head</t>
  </si>
  <si>
    <t xml:space="preserve">Owner intake 2026-10-15</t>
  </si>
  <si>
    <t xml:space="preserve">Sheep (head)</t>
  </si>
  <si>
    <t xml:space="preserve">Owner intake</t>
  </si>
  <si>
    <t xml:space="preserve">Goats (head)</t>
  </si>
  <si>
    <t xml:space="preserve">birds</t>
  </si>
  <si>
    <t xml:space="preserve">Total ~1,000 birds known; split unknown</t>
  </si>
  <si>
    <t xml:space="preserve">Improved kienyeji (standing flock)</t>
  </si>
  <si>
    <t xml:space="preserve">Split unknown</t>
  </si>
  <si>
    <t xml:space="preserve">Ducks</t>
  </si>
  <si>
    <t xml:space="preserve">Guinea fowl</t>
  </si>
  <si>
    <t xml:space="preserve">Geese</t>
  </si>
  <si>
    <t xml:space="preserve">TLU factor cattle</t>
  </si>
  <si>
    <t xml:space="preserve">TLU/head</t>
  </si>
  <si>
    <t xml:space="preserve">Standard TLU convention (not re-verified this session)</t>
  </si>
  <si>
    <t xml:space="preserve">TLU factor sheep/goat</t>
  </si>
  <si>
    <t xml:space="preserve">Standard TLU convention</t>
  </si>
  <si>
    <t xml:space="preserve">TLU factor poultry</t>
  </si>
  <si>
    <t xml:space="preserve">TLU/bird</t>
  </si>
  <si>
    <t xml:space="preserve">Land and buildings (acreage NOT given in intake)</t>
  </si>
  <si>
    <t xml:space="preserve">Farm area</t>
  </si>
  <si>
    <t xml:space="preserve">acres</t>
  </si>
  <si>
    <t xml:space="preserve">Unknown. 12 acres is a guess sized to carry ~13 ruminant TLU</t>
  </si>
  <si>
    <t xml:space="preserve">Land value per acre</t>
  </si>
  <si>
    <t xml:space="preserve">KES/acre</t>
  </si>
  <si>
    <t xml:space="preserve">No Bomet price found in search; get a valuer's figure. Title status unclear</t>
  </si>
  <si>
    <t xml:space="preserve">Buildings, fencing, equipment (replacement value)</t>
  </si>
  <si>
    <t xml:space="preserve">Unknown; inspect</t>
  </si>
  <si>
    <t xml:space="preserve">Depreciation life</t>
  </si>
  <si>
    <t xml:space="preserve">years</t>
  </si>
  <si>
    <t xml:space="preserve">Repairs and maintenance</t>
  </si>
  <si>
    <t xml:space="preserve">% of capex</t>
  </si>
  <si>
    <t xml:space="preserve">Cattle (assumed dairy-type, 4 cows in milk of 10 head)</t>
  </si>
  <si>
    <t xml:space="preserve">Cows in milk</t>
  </si>
  <si>
    <t xml:space="preserve">Herd structure unknown</t>
  </si>
  <si>
    <t xml:space="preserve">Milk per cow per day</t>
  </si>
  <si>
    <t xml:space="preserve">L</t>
  </si>
  <si>
    <t xml:space="preserve">Typical smallholder crossbred; measure</t>
  </si>
  <si>
    <t xml:space="preserve">Days in milk per year per cow</t>
  </si>
  <si>
    <t xml:space="preserve">days</t>
  </si>
  <si>
    <t xml:space="preserve">Farm-gate milk price</t>
  </si>
  <si>
    <t xml:space="preserve">KES/L</t>
  </si>
  <si>
    <t xml:space="preserve">Brookside/New KCC ~Sh37 (Business Daily, undated); KCC Sotik Sh41-43 for volume (KNA). Dates unconfirmed</t>
  </si>
  <si>
    <t xml:space="preserve">Cooling, transport, levies</t>
  </si>
  <si>
    <t xml:space="preserve">Dairy meal per cow in milk per day</t>
  </si>
  <si>
    <t xml:space="preserve">kg</t>
  </si>
  <si>
    <t xml:space="preserve">Dairy meal price</t>
  </si>
  <si>
    <t xml:space="preserve">KES/kg</t>
  </si>
  <si>
    <t xml:space="preserve">Layers mash ~Sh3,900/70kg, chick mash up to Sh4,600 (Capital FM, 'Nov 25'); dairy meal assumed similar per kg</t>
  </si>
  <si>
    <t xml:space="preserve">Purchased hay/forage per head</t>
  </si>
  <si>
    <t xml:space="preserve">KES/head/yr</t>
  </si>
  <si>
    <t xml:space="preserve">Depends on own fodder; crops unknown</t>
  </si>
  <si>
    <t xml:space="preserve">Minerals and salt per head</t>
  </si>
  <si>
    <t xml:space="preserve">Vet, AI, acaricide, drugs per head</t>
  </si>
  <si>
    <t xml:space="preserve">Replace with vet quote</t>
  </si>
  <si>
    <t xml:space="preserve">Cattle sold per year (steers/surplus/culls)</t>
  </si>
  <si>
    <t xml:space="preserve">Price per head sold</t>
  </si>
  <si>
    <t xml:space="preserve">KMC 140-180 KES/kg live (Garissa programme, kenyanews.go.ke Feb 2026) x ~250 kg; Kajiado/Turkana press ranges 20k-120k</t>
  </si>
  <si>
    <t xml:space="preserve">Mortality/loss</t>
  </si>
  <si>
    <t xml:space="preserve">% of herd value</t>
  </si>
  <si>
    <t xml:space="preserve">Value per head (capital)</t>
  </si>
  <si>
    <t xml:space="preserve">Sheep (40 breeding ewes of 50)</t>
  </si>
  <si>
    <t xml:space="preserve">Breeding ewes</t>
  </si>
  <si>
    <t xml:space="preserve">Lambs weaned per ewe per year</t>
  </si>
  <si>
    <t xml:space="preserve">no.</t>
  </si>
  <si>
    <t xml:space="preserve">Smallholder hair sheep; measure</t>
  </si>
  <si>
    <t xml:space="preserve">Replacement rate of ewes</t>
  </si>
  <si>
    <t xml:space="preserve">Sale weight</t>
  </si>
  <si>
    <t xml:space="preserve">kg live</t>
  </si>
  <si>
    <t xml:space="preserve">~30 kg avg (Springer Pastoralism study); older data</t>
  </si>
  <si>
    <t xml:space="preserve">Price</t>
  </si>
  <si>
    <t xml:space="preserve">KES/kg live</t>
  </si>
  <si>
    <t xml:space="preserve">KMC buyer offer 200-210/kg (Garissa, Feb 2026); Selina Wamucii aggregated est. ~280/kg (not farm-gate data)</t>
  </si>
  <si>
    <t xml:space="preserve">Supplement/feed purchases per head</t>
  </si>
  <si>
    <t xml:space="preserve">Vet, deworm, dip, vaccines per head (sheep and goats)</t>
  </si>
  <si>
    <t xml:space="preserve">Minerals per head</t>
  </si>
  <si>
    <t xml:space="preserve">Selling cost (transport, commission)</t>
  </si>
  <si>
    <t xml:space="preserve">% of revenue</t>
  </si>
  <si>
    <t xml:space="preserve">Value per head</t>
  </si>
  <si>
    <t xml:space="preserve">Goats (8 does of 10)</t>
  </si>
  <si>
    <t xml:space="preserve">Breeding does</t>
  </si>
  <si>
    <t xml:space="preserve">Kids weaned per doe per year</t>
  </si>
  <si>
    <t xml:space="preserve">Replacement rate</t>
  </si>
  <si>
    <t xml:space="preserve">~30 kg adult avg (Springer); younger animals sold</t>
  </si>
  <si>
    <t xml:space="preserve">KMC 210-220/kg (Feb 2026 Garissa offer)</t>
  </si>
  <si>
    <t xml:space="preserve">Supplement per head</t>
  </si>
  <si>
    <t xml:space="preserve">Layers (300)</t>
  </si>
  <si>
    <t xml:space="preserve">Hen-day production</t>
  </si>
  <si>
    <t xml:space="preserve">Typical commercial layer range; measure</t>
  </si>
  <si>
    <t xml:space="preserve">Laying days in 12 months</t>
  </si>
  <si>
    <t xml:space="preserve">Breakage/rejects</t>
  </si>
  <si>
    <t xml:space="preserve">Egg price per tray of 30 (farm gate)</t>
  </si>
  <si>
    <t xml:space="preserve">KES/tray</t>
  </si>
  <si>
    <t xml:space="preserve">Farm gate ~Sh400 (Nation, undated); retail Sh400-600 exotic, Sh540-750 indigenous (Business Daily)</t>
  </si>
  <si>
    <t xml:space="preserve">Feed per hen per day</t>
  </si>
  <si>
    <t xml:space="preserve">g</t>
  </si>
  <si>
    <t xml:space="preserve">Standard layer intake</t>
  </si>
  <si>
    <t xml:space="preserve">Layers mash price per 70 kg bag</t>
  </si>
  <si>
    <t xml:space="preserve">KES/bag</t>
  </si>
  <si>
    <t xml:space="preserve">Sh3,900-4,000 (Kenyan Wall Street/Capital FM); Sh4,500 in 2023. Dates uncertain</t>
  </si>
  <si>
    <t xml:space="preserve">Laying cycle before cull</t>
  </si>
  <si>
    <t xml:space="preserve">months</t>
  </si>
  <si>
    <t xml:space="preserve">Point-of-lay pullet cost</t>
  </si>
  <si>
    <t xml:space="preserve">Get hatchery quote</t>
  </si>
  <si>
    <t xml:space="preserve">Mortality in lay</t>
  </si>
  <si>
    <t xml:space="preserve">% per year</t>
  </si>
  <si>
    <t xml:space="preserve">Spent hen price</t>
  </si>
  <si>
    <t xml:space="preserve">KES/bird</t>
  </si>
  <si>
    <t xml:space="preserve">Vaccines and drugs per hen</t>
  </si>
  <si>
    <t xml:space="preserve">KES/yr</t>
  </si>
  <si>
    <t xml:space="preserve">Packaging and handling per tray</t>
  </si>
  <si>
    <t xml:space="preserve">Transport and marketing</t>
  </si>
  <si>
    <t xml:space="preserve">% of egg revenue</t>
  </si>
  <si>
    <t xml:space="preserve">Value per hen (capital)</t>
  </si>
  <si>
    <t xml:space="preserve">Meat and dual-purpose poultry (feed bag price)</t>
  </si>
  <si>
    <t xml:space="preserve">Chick/grower feed price per 70 kg bag</t>
  </si>
  <si>
    <t xml:space="preserve">Chick mash Sh3,900 -&gt; 4,600 (Capital FM 'Nov 25'); growers assumed in between</t>
  </si>
  <si>
    <t xml:space="preserve">Improved kienyeji</t>
  </si>
  <si>
    <t xml:space="preserve">Improved kienyeji: batches per year</t>
  </si>
  <si>
    <t xml:space="preserve">Improved kienyeji: mortality to sale</t>
  </si>
  <si>
    <t xml:space="preserve">Improved kienyeji: farm-gate price per bird</t>
  </si>
  <si>
    <t xml:space="preserve">Mature kienyeji Sh900-1,500 retail (BeyondForest 2026), Sh600-1,200 dressed (Huduma 2026); farm gate haircut applied</t>
  </si>
  <si>
    <t xml:space="preserve">Improved kienyeji: chick/duckling/keet/gosling cost</t>
  </si>
  <si>
    <t xml:space="preserve">Hatchery quote needed</t>
  </si>
  <si>
    <t xml:space="preserve">Improved kienyeji: purchased feed per bird started</t>
  </si>
  <si>
    <t xml:space="preserve">Depends on free-range access</t>
  </si>
  <si>
    <t xml:space="preserve">Improved kienyeji: vet/drugs per bird started</t>
  </si>
  <si>
    <t xml:space="preserve">Improved kienyeji: value per bird (capital)</t>
  </si>
  <si>
    <t xml:space="preserve">Ducks: batches per year</t>
  </si>
  <si>
    <t xml:space="preserve">Ducks: mortality to sale</t>
  </si>
  <si>
    <t xml:space="preserve">Ducks: farm-gate price per bird</t>
  </si>
  <si>
    <t xml:space="preserve">No Kenyan duck price found; thin market, verify buyers</t>
  </si>
  <si>
    <t xml:space="preserve">Ducks: chick/duckling/keet/gosling cost</t>
  </si>
  <si>
    <t xml:space="preserve">Ducks: purchased feed per bird started</t>
  </si>
  <si>
    <t xml:space="preserve">Ducks: vet/drugs per bird started</t>
  </si>
  <si>
    <t xml:space="preserve">Ducks: value per bird (capital)</t>
  </si>
  <si>
    <t xml:space="preserve">Guinea fowl: batches per year</t>
  </si>
  <si>
    <t xml:space="preserve">Guinea fowl: mortality to sale</t>
  </si>
  <si>
    <t xml:space="preserve">Guinea fowl: farm-gate price per bird</t>
  </si>
  <si>
    <t xml:space="preserve">No price found; keets fragile, thin market</t>
  </si>
  <si>
    <t xml:space="preserve">Guinea fowl: chick/duckling/keet/gosling cost</t>
  </si>
  <si>
    <t xml:space="preserve">Guinea fowl: purchased feed per bird started</t>
  </si>
  <si>
    <t xml:space="preserve">Guinea fowl: vet/drugs per bird started</t>
  </si>
  <si>
    <t xml:space="preserve">Guinea fowl: value per bird (capital)</t>
  </si>
  <si>
    <t xml:space="preserve">Geese: batches per year</t>
  </si>
  <si>
    <t xml:space="preserve">Geese: mortality to sale</t>
  </si>
  <si>
    <t xml:space="preserve">Geese: farm-gate price per bird</t>
  </si>
  <si>
    <t xml:space="preserve">No price found; seasonal (Christmas) demand, thin market</t>
  </si>
  <si>
    <t xml:space="preserve">Geese: chick/duckling/keet/gosling cost</t>
  </si>
  <si>
    <t xml:space="preserve">Geese: purchased feed per bird started</t>
  </si>
  <si>
    <t xml:space="preserve">Geese: vet/drugs per bird started</t>
  </si>
  <si>
    <t xml:space="preserve">Geese: value per bird (capital)</t>
  </si>
  <si>
    <t xml:space="preserve">Poultry selling costs</t>
  </si>
  <si>
    <t xml:space="preserve">Labour</t>
  </si>
  <si>
    <t xml:space="preserve">Legal minimum: unskilled farm worker</t>
  </si>
  <si>
    <t xml:space="preserve">KES/month</t>
  </si>
  <si>
    <t xml:space="preserve">Agricultural Industry (Amendment) Order 2024, LN 163/2024, in force 1 Nov 2024 (wageindicator.org; capitalfm.africa)</t>
  </si>
  <si>
    <t xml:space="preserve">Legal minimum: stockman/herdsman</t>
  </si>
  <si>
    <t xml:space="preserve">same</t>
  </si>
  <si>
    <t xml:space="preserve">Legal minimum: farm foreman/clerk</t>
  </si>
  <si>
    <t xml:space="preserve">same. A newer order may exist; check Kenya Gazette</t>
  </si>
  <si>
    <t xml:space="preserve">Pay: working supervisor (staff 1)</t>
  </si>
  <si>
    <t xml:space="preserve">Above foreman minimum</t>
  </si>
  <si>
    <t xml:space="preserve">Pay: poultry lead (staff 2)</t>
  </si>
  <si>
    <t xml:space="preserve">Above stockman minimum</t>
  </si>
  <si>
    <t xml:space="preserve">Pay: small-stock and general hand (staff 3)</t>
  </si>
  <si>
    <t xml:space="preserve">Employer NSSF</t>
  </si>
  <si>
    <t xml:space="preserve">% of pay</t>
  </si>
  <si>
    <t xml:space="preserve">6% employer, limits 9,000-108,000 from Feb 2026 (capitalfm.africa; cmadvocates.com)</t>
  </si>
  <si>
    <t xml:space="preserve">Employer housing levy</t>
  </si>
  <si>
    <t xml:space="preserve">1.5% employer match; not verified this session - accountant to confirm</t>
  </si>
  <si>
    <t xml:space="preserve">NITA levy</t>
  </si>
  <si>
    <t xml:space="preserve">KES/employee/month</t>
  </si>
  <si>
    <t xml:space="preserve">Confirm</t>
  </si>
  <si>
    <t xml:space="preserve">Casual relief days per year (leave, peaks)</t>
  </si>
  <si>
    <t xml:space="preserve">Casual day rate</t>
  </si>
  <si>
    <t xml:space="preserve">KES/day</t>
  </si>
  <si>
    <t xml:space="preserve">Legal daily minimum unskilled ~335 (Capital FM)</t>
  </si>
  <si>
    <t xml:space="preserve">Normal weekly hours</t>
  </si>
  <si>
    <t xml:space="preserve">WageIndicator agricultural order summary</t>
  </si>
  <si>
    <t xml:space="preserve">Productive weeks per person per year</t>
  </si>
  <si>
    <t xml:space="preserve">weeks</t>
  </si>
  <si>
    <t xml:space="preserve">Leave and holidays</t>
  </si>
  <si>
    <t xml:space="preserve">Task hours/day: cattle and dairy</t>
  </si>
  <si>
    <t xml:space="preserve">h/day</t>
  </si>
  <si>
    <t xml:space="preserve">Replace with time log</t>
  </si>
  <si>
    <t xml:space="preserve">Task hours/day: sheep</t>
  </si>
  <si>
    <t xml:space="preserve">Task hours/day: goats</t>
  </si>
  <si>
    <t xml:space="preserve">Task hours/day: layers</t>
  </si>
  <si>
    <t xml:space="preserve">Task hours/day: other poultry</t>
  </si>
  <si>
    <t xml:space="preserve">Task hours/day: water, fodder, repairs, marketing</t>
  </si>
  <si>
    <t xml:space="preserve">Farm-level fixed costs</t>
  </si>
  <si>
    <t xml:space="preserve">Water and power</t>
  </si>
  <si>
    <t xml:space="preserve">Water source unknown</t>
  </si>
  <si>
    <t xml:space="preserve">Transport and communications</t>
  </si>
  <si>
    <t xml:space="preserve">Licences, permits, county cess</t>
  </si>
  <si>
    <t xml:space="preserve">Land rates</t>
  </si>
  <si>
    <t xml:space="preserve">Livestock/poultry insurance</t>
  </si>
  <si>
    <t xml:space="preserve">% of stock value</t>
  </si>
  <si>
    <t xml:space="preserve">Not in base; see doc</t>
  </si>
  <si>
    <t xml:space="preserve">Options: owner hours, set-up, lease, sale</t>
  </si>
  <si>
    <t xml:space="preserve">Owner hours/yr, PLAN generic self-run (yr 1)</t>
  </si>
  <si>
    <t xml:space="preserve">h/yr</t>
  </si>
  <si>
    <t xml:space="preserve">PLAN section 5 (~390, range 330-450)</t>
  </si>
  <si>
    <t xml:space="preserve">Owner remote hours/week, simplified owner-operator</t>
  </si>
  <si>
    <t xml:space="preserve">Photos, tallies, M-Pesa review</t>
  </si>
  <si>
    <t xml:space="preserve">Owner site visits/yr</t>
  </si>
  <si>
    <t xml:space="preserve">visits</t>
  </si>
  <si>
    <t xml:space="preserve">Owner distance unknown</t>
  </si>
  <si>
    <t xml:space="preserve">Hours per visit incl. travel</t>
  </si>
  <si>
    <t xml:space="preserve">Owner finance/admin hours/week</t>
  </si>
  <si>
    <t xml:space="preserve">Approvals, payroll sign-off</t>
  </si>
  <si>
    <t xml:space="preserve">Owner hours/yr under lease</t>
  </si>
  <si>
    <t xml:space="preserve">PLAN decision sheet 20-40 h/yr</t>
  </si>
  <si>
    <t xml:space="preserve">Set-up cost, PLAN generic self-run</t>
  </si>
  <si>
    <t xml:space="preserve">KES total</t>
  </si>
  <si>
    <t xml:space="preserve">B12 structure (entity, SOPs, interim lead, double-running) scaled to KES</t>
  </si>
  <si>
    <t xml:space="preserve">Set-up cost, simplified owner-operator</t>
  </si>
  <si>
    <t xml:space="preserve">Records, phone, contracts, training</t>
  </si>
  <si>
    <t xml:space="preserve">Amortisation years</t>
  </si>
  <si>
    <t xml:space="preserve">B12 default 4</t>
  </si>
  <si>
    <t xml:space="preserve">Transition: lawyer and tenant/operator search (lease/sale)</t>
  </si>
  <si>
    <t xml:space="preserve">Staff notice/severance if lease or sale</t>
  </si>
  <si>
    <t xml:space="preserve">months of pay</t>
  </si>
  <si>
    <t xml:space="preserve">Labour law - lawyer</t>
  </si>
  <si>
    <t xml:space="preserve">Lease rent</t>
  </si>
  <si>
    <t xml:space="preserve">KES/acre/yr</t>
  </si>
  <si>
    <t xml:space="preserve">Sh6,000-10,000 per acre typical (Nation, undated); higher with poultry buildings</t>
  </si>
  <si>
    <t xml:space="preserve">Landlord-retained costs under lease</t>
  </si>
  <si>
    <t xml:space="preserve">PLAN default 9k in its own units</t>
  </si>
  <si>
    <t xml:space="preserve">Lease/sale legally executable before title? (1 yes, 0 no/unknown)</t>
  </si>
  <si>
    <t xml:space="preserve">flag</t>
  </si>
  <si>
    <t xml:space="preserve">Unknown - lawyer to confirm. 0 excludes lease/sale from the executable ranking</t>
  </si>
  <si>
    <t xml:space="preserve">Cattle / dairy enterprise budget (annual, KES) - ASSUMED herd structure; replace with measured data</t>
  </si>
  <si>
    <t xml:space="preserve">Production</t>
  </si>
  <si>
    <t xml:space="preserve">Milk sold</t>
  </si>
  <si>
    <t xml:space="preserve">L/yr</t>
  </si>
  <si>
    <t xml:space="preserve">Milk revenue</t>
  </si>
  <si>
    <t xml:space="preserve">Cattle sales</t>
  </si>
  <si>
    <t xml:space="preserve">Total revenue</t>
  </si>
  <si>
    <t xml:space="preserve">Dairy meal</t>
  </si>
  <si>
    <t xml:space="preserve">Purchased forage</t>
  </si>
  <si>
    <t xml:space="preserve">Minerals</t>
  </si>
  <si>
    <t xml:space="preserve">Vet, AI, acaricide</t>
  </si>
  <si>
    <t xml:space="preserve">Milk cooling, transport, levies</t>
  </si>
  <si>
    <t xml:space="preserve">Mortality/loss allowance</t>
  </si>
  <si>
    <t xml:space="preserve">Total variable costs</t>
  </si>
  <si>
    <t xml:space="preserve">Gross margin (before labour and fixed costs)</t>
  </si>
  <si>
    <t xml:space="preserve">Gross margin per head</t>
  </si>
  <si>
    <t xml:space="preserve">KES/head</t>
  </si>
  <si>
    <t xml:space="preserve">Stock capital</t>
  </si>
  <si>
    <t xml:space="preserve">Memo: purchased feed and forage</t>
  </si>
  <si>
    <t xml:space="preserve">Sheep enterprise budget (annual, KES) - 50 head, 40 breeding ewes assumed</t>
  </si>
  <si>
    <t xml:space="preserve">Lambs/hoggets sold (weaned less replacements)</t>
  </si>
  <si>
    <t xml:space="preserve">Sale price per head</t>
  </si>
  <si>
    <t xml:space="preserve">Sales revenue</t>
  </si>
  <si>
    <t xml:space="preserve">Supplement/feed</t>
  </si>
  <si>
    <t xml:space="preserve">Vet, deworm, dip, vaccines</t>
  </si>
  <si>
    <t xml:space="preserve">Selling cost</t>
  </si>
  <si>
    <t xml:space="preserve">Memo: purchased feed</t>
  </si>
  <si>
    <t xml:space="preserve">Goat enterprise budget (annual, KES) - 10 head, 8 does assumed</t>
  </si>
  <si>
    <t xml:space="preserve">Kids sold (weaned less replacements)</t>
  </si>
  <si>
    <t xml:space="preserve">Vet, deworm, vaccines</t>
  </si>
  <si>
    <t xml:space="preserve">Layer enterprise budget (annual, KES) - 300 hens assumed, bought-in feed and point-of-lay pullets</t>
  </si>
  <si>
    <t xml:space="preserve">Saleable eggs</t>
  </si>
  <si>
    <t xml:space="preserve">eggs/yr</t>
  </si>
  <si>
    <t xml:space="preserve">Trays of 30</t>
  </si>
  <si>
    <t xml:space="preserve">trays/yr</t>
  </si>
  <si>
    <t xml:space="preserve">Flock turnover per year</t>
  </si>
  <si>
    <t xml:space="preserve">ratio</t>
  </si>
  <si>
    <t xml:space="preserve">Egg revenue</t>
  </si>
  <si>
    <t xml:space="preserve">Spent hen sales</t>
  </si>
  <si>
    <t xml:space="preserve">Layers mash</t>
  </si>
  <si>
    <t xml:space="preserve">Replacement pullets</t>
  </si>
  <si>
    <t xml:space="preserve">Vaccines and drugs</t>
  </si>
  <si>
    <t xml:space="preserve">Packaging and handling</t>
  </si>
  <si>
    <t xml:space="preserve">Gross margin per hen</t>
  </si>
  <si>
    <t xml:space="preserve">KES/hen</t>
  </si>
  <si>
    <t xml:space="preserve">Feed cost per tray</t>
  </si>
  <si>
    <t xml:space="preserve">Improved kienyeji, ducks, guinea fowl, geese (annual, KES) - split of ~1,000 birds ASSUMED; prices for ducks/guinea/geese are ASSUMED</t>
  </si>
  <si>
    <t xml:space="preserve">Birds started per year</t>
  </si>
  <si>
    <t xml:space="preserve">Birds sold</t>
  </si>
  <si>
    <t xml:space="preserve">Chicks/ducklings/keets/goslings</t>
  </si>
  <si>
    <t xml:space="preserve">Purchased feed</t>
  </si>
  <si>
    <t xml:space="preserve">Vet/drugs</t>
  </si>
  <si>
    <t xml:space="preserve">Gross margin per standing bird</t>
  </si>
  <si>
    <t xml:space="preserve">Total other poultry</t>
  </si>
  <si>
    <t xml:space="preserve">Birds (all other poultry)</t>
  </si>
  <si>
    <t xml:space="preserve">Staffing and labour (KES) - 3 existing staff, roles proposed (currently undefined)</t>
  </si>
  <si>
    <t xml:space="preserve">Roles and pay</t>
  </si>
  <si>
    <t xml:space="preserve">Staff 1: working supervisor (cattle/dairy, daily tally, key-holder)</t>
  </si>
  <si>
    <t xml:space="preserve">Staff 2: poultry lead (layers, eggs, brooding, feed store)</t>
  </si>
  <si>
    <t xml:space="preserve">Staff 3: small-stock and general hand (sheep, goats, fodder, relief)</t>
  </si>
  <si>
    <t xml:space="preserve">Premium over legal minimum, staff 1</t>
  </si>
  <si>
    <t xml:space="preserve">Premium over legal minimum, staff 2</t>
  </si>
  <si>
    <t xml:space="preserve">Premium over legal minimum, staff 3</t>
  </si>
  <si>
    <t xml:space="preserve">Annual cost</t>
  </si>
  <si>
    <t xml:space="preserve">Basic pay</t>
  </si>
  <si>
    <t xml:space="preserve">Employer NSSF + housing levy + NITA</t>
  </si>
  <si>
    <t xml:space="preserve">Casual relief labour</t>
  </si>
  <si>
    <t xml:space="preserve">Total hired labour cost</t>
  </si>
  <si>
    <t xml:space="preserve">Monthly pay bill (basic)</t>
  </si>
  <si>
    <t xml:space="preserve">Hours test</t>
  </si>
  <si>
    <t xml:space="preserve">Task hours required per year</t>
  </si>
  <si>
    <t xml:space="preserve">Productive hours per person per year</t>
  </si>
  <si>
    <t xml:space="preserve">FTE required</t>
  </si>
  <si>
    <t xml:space="preserve">FTE</t>
  </si>
  <si>
    <t xml:space="preserve">Utilisation of 3 staff</t>
  </si>
  <si>
    <t xml:space="preserve">Minimum people for 7-day cover (1 on site, 5.5-day weeks)</t>
  </si>
  <si>
    <t xml:space="preserve">One person on site every day needs ~1.4 people before leave; 2 for resilience</t>
  </si>
  <si>
    <t xml:space="preserve">Control and management overhead: PLAN generic structure vs right-sized for this farm (KES/yr). All ASSUMED quotes; replace with real quotes.</t>
  </si>
  <si>
    <t xml:space="preserve">Item</t>
  </si>
  <si>
    <t xml:space="preserve">Class</t>
  </si>
  <si>
    <t xml:space="preserve">PLAN generic KES/yr</t>
  </si>
  <si>
    <t xml:space="preserve">Right-sized KES/yr</t>
  </si>
  <si>
    <t xml:space="preserve">Treatment</t>
  </si>
  <si>
    <t xml:space="preserve">Generic USD</t>
  </si>
  <si>
    <t xml:space="preserve">Right-sized USD</t>
  </si>
  <si>
    <t xml:space="preserve">External bookkeeper (remote, monthly)</t>
  </si>
  <si>
    <t xml:space="preserve">Control</t>
  </si>
  <si>
    <t xml:space="preserve">KEEP (non-waivable)</t>
  </si>
  <si>
    <t xml:space="preserve">KES 6k vs 4k per month; owner-only vendor creation, M-Pesa/bank feeds go to owner</t>
  </si>
  <si>
    <t xml:space="preserve">Randomised spot-counts</t>
  </si>
  <si>
    <t xml:space="preserve">KEEP, cheaper</t>
  </si>
  <si>
    <t xml:space="preserve">4 audited counts vs 6 neighbour/para-vet/representative counts, randomised, photo + tally</t>
  </si>
  <si>
    <t xml:space="preserve">Quarterly non-preparer reconciliation + annual accountant review</t>
  </si>
  <si>
    <t xml:space="preserve">KEEP, scaled</t>
  </si>
  <si>
    <t xml:space="preserve">Accountant reviews bookkeeper's M-Pesa/bank reconciliation once a quarter, short annual review</t>
  </si>
  <si>
    <t xml:space="preserve">Consultant agronomist and stockman backstop</t>
  </si>
  <si>
    <t xml:space="preserve">BUY BY THE HOUR</t>
  </si>
  <si>
    <t xml:space="preserve">~6 visits/yr at ~KES 4k, on call, instead of a retainer</t>
  </si>
  <si>
    <t xml:space="preserve">Farm Model upkeep</t>
  </si>
  <si>
    <t xml:space="preserve">DROP</t>
  </si>
  <si>
    <t xml:space="preserve">Owner or bookkeeper maintains this workbook</t>
  </si>
  <si>
    <t xml:space="preserve">Representative / steward</t>
  </si>
  <si>
    <t xml:space="preserve">Trusted unrelated local person with second mandate, KES 3k/month stipend</t>
  </si>
  <si>
    <t xml:space="preserve">Hotline</t>
  </si>
  <si>
    <t xml:space="preserve">WhatsApp/SMS to owner and representative</t>
  </si>
  <si>
    <t xml:space="preserve">Fidelity premium</t>
  </si>
  <si>
    <t xml:space="preserve">Staff do not handle cash; sales proceeds paid to owner till/M-Pesa</t>
  </si>
  <si>
    <t xml:space="preserve">Entity and legal (amortised 3 yrs)</t>
  </si>
  <si>
    <t xml:space="preserve">Lawyer hours: staff contracts, fraud-response one-pager, title/lease advice (separate)</t>
  </si>
  <si>
    <t xml:space="preserve">GSM alarms and sensors (amortised)</t>
  </si>
  <si>
    <t xml:space="preserve">Revisit if layers move to a closed brooder/house</t>
  </si>
  <si>
    <t xml:space="preserve">Data store, geotag/camera tooling (amortised)</t>
  </si>
  <si>
    <t xml:space="preserve">KEEP, cheap</t>
  </si>
  <si>
    <t xml:space="preserve">Smartphone camera + shared sheet + bundles</t>
  </si>
  <si>
    <t xml:space="preserve">Coordinator</t>
  </si>
  <si>
    <t xml:space="preserve">Owner is coordinator at this scale</t>
  </si>
  <si>
    <t xml:space="preserve">External audit</t>
  </si>
  <si>
    <t xml:space="preserve">Replaced by accountant annual review; no statutory audit for sole proprietor</t>
  </si>
  <si>
    <t xml:space="preserve">Ad hoc consultants</t>
  </si>
  <si>
    <t xml:space="preserve">Covered by hourly consultant line above</t>
  </si>
  <si>
    <t xml:space="preserve">Total control-and-oversight cost</t>
  </si>
  <si>
    <t xml:space="preserve">Memo: only the core items (bookkeeper, spot-counts, reconciliation/review, representative, legal)</t>
  </si>
  <si>
    <t xml:space="preserve">Management cost (reported separately, B10)</t>
  </si>
  <si>
    <t xml:space="preserve">Manager (KES 35k/month)</t>
  </si>
  <si>
    <t xml:space="preserve">Management</t>
  </si>
  <si>
    <t xml:space="preserve">Local livestock manager pay assumed; no source. Existing 3 staff + owner replace this</t>
  </si>
  <si>
    <t xml:space="preserve">Deputy (KES 20k/month)</t>
  </si>
  <si>
    <t xml:space="preserve">Assumed</t>
  </si>
  <si>
    <t xml:space="preserve">Supervisor stipend uplift (working supervisor accountable for daily tallies)</t>
  </si>
  <si>
    <t xml:space="preserve">ADD</t>
  </si>
  <si>
    <t xml:space="preserve">KES 6k/month on top of staff 1 pay on Labour sheet, tied to tally completeness</t>
  </si>
  <si>
    <t xml:space="preserve">Total management cost</t>
  </si>
  <si>
    <t xml:space="preserve">TOTAL overhead (controls + management)</t>
  </si>
  <si>
    <t xml:space="preserve">Consolidated farm P&amp;L before management and controls (KES per year)</t>
  </si>
  <si>
    <t xml:space="preserve">Total gross margin</t>
  </si>
  <si>
    <t xml:space="preserve">Labour and fixed costs</t>
  </si>
  <si>
    <t xml:space="preserve">Hired labour (3 staff + relief + statutory)</t>
  </si>
  <si>
    <t xml:space="preserve">Licences, permits, cess</t>
  </si>
  <si>
    <t xml:space="preserve">Depreciation of buildings and equipment</t>
  </si>
  <si>
    <t xml:space="preserve">Stock capital (all species)</t>
  </si>
  <si>
    <t xml:space="preserve">Insurance on stock</t>
  </si>
  <si>
    <t xml:space="preserve">Total labour + fixed costs</t>
  </si>
  <si>
    <t xml:space="preserve">Result</t>
  </si>
  <si>
    <t xml:space="preserve">OMBM: operating margin before management and controls</t>
  </si>
  <si>
    <t xml:space="preserve">B10 definition; owner time excluded here (priced separately in B12 via p); no land rent charged</t>
  </si>
  <si>
    <t xml:space="preserve">OMBM as % of revenue</t>
  </si>
  <si>
    <t xml:space="preserve">Contribution ratio (1 - variable cost / revenue)</t>
  </si>
  <si>
    <t xml:space="preserve">Gross margin per task hour (before fixed costs)</t>
  </si>
  <si>
    <t xml:space="preserve">Scale and capital</t>
  </si>
  <si>
    <t xml:space="preserve">Livestock units</t>
  </si>
  <si>
    <t xml:space="preserve">TLU</t>
  </si>
  <si>
    <t xml:space="preserve">Ruminants alone ~13 TLU</t>
  </si>
  <si>
    <t xml:space="preserve">Purchased feed and forage</t>
  </si>
  <si>
    <t xml:space="preserve">Purchased feed as % of revenue</t>
  </si>
  <si>
    <t xml:space="preserve">Working capital (3 months of variable costs + labour)</t>
  </si>
  <si>
    <t xml:space="preserve">K: operating capital at risk (stock + buildings + working capital)</t>
  </si>
  <si>
    <t xml:space="preserve">Land value L</t>
  </si>
  <si>
    <t xml:space="preserve">Asset base (land + buildings + stock)</t>
  </si>
  <si>
    <t xml:space="preserve">Revenue in USD</t>
  </si>
  <si>
    <t xml:space="preserve">USD</t>
  </si>
  <si>
    <t xml:space="preserve">Revenue per acre</t>
  </si>
  <si>
    <t xml:space="preserve">B12 hurdle procedure and ranking (annual after-risk income to owner, real KES)</t>
  </si>
  <si>
    <t xml:space="preserve">Common terms</t>
  </si>
  <si>
    <t xml:space="preserve">K</t>
  </si>
  <si>
    <t xml:space="preserve">g x L (land value change)</t>
  </si>
  <si>
    <t xml:space="preserve">Risk charge r x K</t>
  </si>
  <si>
    <t xml:space="preserve">Option 1: Self-run, PLAN generic structure (manager + deputy + full controls)</t>
  </si>
  <si>
    <t xml:space="preserve">Owner hours</t>
  </si>
  <si>
    <t xml:space="preserve">Controls</t>
  </si>
  <si>
    <t xml:space="preserve">Manager + deputy</t>
  </si>
  <si>
    <t xml:space="preserve">Set-up / years</t>
  </si>
  <si>
    <t xml:space="preserve">VALUE: self-run generic</t>
  </si>
  <si>
    <t xml:space="preserve">Option 2: Owner-operator with simplified controls (3 staff, working supervisor, remote checks)</t>
  </si>
  <si>
    <t xml:space="preserve">Controls (right-sized)</t>
  </si>
  <si>
    <t xml:space="preserve">Management (supervisor stipend)</t>
  </si>
  <si>
    <t xml:space="preserve">VALUE: owner-operator simplified</t>
  </si>
  <si>
    <t xml:space="preserve">Option 3: Lease (land and buildings; stock and staff exit)</t>
  </si>
  <si>
    <t xml:space="preserve">Rent</t>
  </si>
  <si>
    <t xml:space="preserve">Net stock proceeds</t>
  </si>
  <si>
    <t xml:space="preserve">Return on stock proceeds</t>
  </si>
  <si>
    <t xml:space="preserve">Transition per year</t>
  </si>
  <si>
    <t xml:space="preserve">VALUE: lease</t>
  </si>
  <si>
    <t xml:space="preserve">Option 4: Sale of land, buildings and stock</t>
  </si>
  <si>
    <t xml:space="preserve">Net proceeds after selling cost/tax</t>
  </si>
  <si>
    <t xml:space="preserve">VALUE: sale (return on proceeds)</t>
  </si>
  <si>
    <t xml:space="preserve">Sale cost, no staff transition, owner time ~0 after completion</t>
  </si>
  <si>
    <t xml:space="preserve">Stress test (single-factor, worst of: price -20%, inputs +25%, disease -10% stock)</t>
  </si>
  <si>
    <t xml:space="preserve">OMBM after price -20%</t>
  </si>
  <si>
    <t xml:space="preserve">OMBM after inputs +25%</t>
  </si>
  <si>
    <t xml:space="preserve">OMBM after disease (-10% output and stock value)</t>
  </si>
  <si>
    <t xml:space="preserve">Worst scenario OMBM</t>
  </si>
  <si>
    <t xml:space="preserve">Stress limit: -10% of K</t>
  </si>
  <si>
    <t xml:space="preserve">Net cash flow, option 1, worst scenario</t>
  </si>
  <si>
    <t xml:space="preserve">Net cash flow, option 2, worst scenario</t>
  </si>
  <si>
    <t xml:space="preserve">Option 1 passes stress limit (1/0)</t>
  </si>
  <si>
    <t xml:space="preserve">Option 2 passes stress limit (1/0)</t>
  </si>
  <si>
    <t xml:space="preserve">Ranking A: all options (if lease and sale were legally available now)</t>
  </si>
  <si>
    <t xml:space="preserve">Eligible: self-run generic</t>
  </si>
  <si>
    <t xml:space="preserve">Eligible: owner-operator simplified</t>
  </si>
  <si>
    <t xml:space="preserve">Eligible: lease</t>
  </si>
  <si>
    <t xml:space="preserve">Eligible: sale</t>
  </si>
  <si>
    <t xml:space="preserve">Score option 1</t>
  </si>
  <si>
    <t xml:space="preserve">Score option 2</t>
  </si>
  <si>
    <t xml:space="preserve">Score option 3</t>
  </si>
  <si>
    <t xml:space="preserve">Score option 4</t>
  </si>
  <si>
    <t xml:space="preserve">Rank option 1</t>
  </si>
  <si>
    <t xml:space="preserve">rank</t>
  </si>
  <si>
    <t xml:space="preserve">Rank option 2</t>
  </si>
  <si>
    <t xml:space="preserve">Rank option 3</t>
  </si>
  <si>
    <t xml:space="preserve">Rank option 4</t>
  </si>
  <si>
    <t xml:space="preserve">Top score</t>
  </si>
  <si>
    <t xml:space="preserve">WINNER (ranking A)</t>
  </si>
  <si>
    <t xml:space="preserve">text</t>
  </si>
  <si>
    <t xml:space="preserve">Ranking B: executable pre-title (lease/sale excluded unless Inputs title_ok = 1)</t>
  </si>
  <si>
    <t xml:space="preserve">Eligible: lease (executable)</t>
  </si>
  <si>
    <t xml:space="preserve">Eligible: sale (executable)</t>
  </si>
  <si>
    <t xml:space="preserve">Score: self-run generic</t>
  </si>
  <si>
    <t xml:space="preserve">Score: owner-operator simplified</t>
  </si>
  <si>
    <t xml:space="preserve">Score: lease</t>
  </si>
  <si>
    <t xml:space="preserve">Score: sale</t>
  </si>
  <si>
    <t xml:space="preserve">WINNER (ranking B, executable now)</t>
  </si>
  <si>
    <t xml:space="preserve">Diagnostics</t>
  </si>
  <si>
    <t xml:space="preserve">Option 1 value as % of asset base</t>
  </si>
  <si>
    <t xml:space="preserve">Option 2 value as % of asset base</t>
  </si>
  <si>
    <t xml:space="preserve">Lease value as % of asset base</t>
  </si>
  <si>
    <t xml:space="preserve">Sale value as % of asset base</t>
  </si>
  <si>
    <t xml:space="preserve">Flip point g*: real land-value growth at which lease beats sale</t>
  </si>
  <si>
    <t xml:space="preserve">Lease value excluding g x L, versus sale value; above g* lease wins</t>
  </si>
  <si>
    <t xml:space="preserve">OMBM gain if purchased feed/forage cost falls 20% (own fodder, bulk buying)</t>
  </si>
  <si>
    <t xml:space="preserve">PLAN band cap: 7% of revenue (small band) vs generic controls</t>
  </si>
  <si>
    <t xml:space="preserve">Generic controls as % of revenue</t>
  </si>
  <si>
    <t xml:space="preserve">Generic controls + manager/deputy as % of revenue</t>
  </si>
  <si>
    <t xml:space="preserve">Generic controls + manager/deputy as multiple of OMBM</t>
  </si>
  <si>
    <t xml:space="preserve">PLAN core-only items at generic prices, % of revenue</t>
  </si>
  <si>
    <t xml:space="preserve">Simplified controls as % of revenue</t>
  </si>
  <si>
    <t xml:space="preserve">One-third of OMBM (B10 limit)</t>
  </si>
  <si>
    <t xml:space="preserve">Simplified controls fit one-third-of-OMBM test (1/0)</t>
  </si>
  <si>
    <t xml:space="preserve">Simplified controls fit 7% band cap (1/0)</t>
  </si>
  <si>
    <t xml:space="preserve">Option 2 value as % of OMBM (conditional pass if &lt;10%)</t>
  </si>
  <si>
    <t xml:space="preserve">Break-even (assumes variable costs scale with revenue: contribution ratio held)</t>
  </si>
  <si>
    <t xml:space="preserve">Option 2: OMBM needed for value = 0</t>
  </si>
  <si>
    <t xml:space="preserve">Option 2: revenue for value = 0</t>
  </si>
  <si>
    <t xml:space="preserve">Option 2: revenue to match lease value</t>
  </si>
  <si>
    <t xml:space="preserve">Option 2: break-even revenue as multiple of current</t>
  </si>
  <si>
    <t xml:space="preserve">Option 2 cash-only: OMBM needed ignoring owner time, set-up, risk charge, g</t>
  </si>
  <si>
    <t xml:space="preserve">Option 1: OMBM needed for value = 0</t>
  </si>
  <si>
    <t xml:space="preserve">Option 1: revenue for value = 0</t>
  </si>
  <si>
    <t xml:space="preserve">Option 1: break-even revenue as multiple of current</t>
  </si>
  <si>
    <t xml:space="preserve">Value per owner hour, option 2 (before owner-time charge)</t>
  </si>
  <si>
    <t xml:space="preserve">Data the owner must collect in the first 8 weeks (replaces ASSUMED inputs)</t>
  </si>
  <si>
    <t xml:space="preserve">No.</t>
  </si>
  <si>
    <t xml:space="preserve">Measure</t>
  </si>
  <si>
    <t xml:space="preserve">Method</t>
  </si>
  <si>
    <t xml:space="preserve">Replaces Inputs rows</t>
  </si>
  <si>
    <t xml:space="preserve">Week</t>
  </si>
  <si>
    <t xml:space="preserve">Independent opening count: every animal by class, each bird species</t>
  </si>
  <si>
    <t xml:space="preserve">Owner or trusted party counts with photos; signed tally</t>
  </si>
  <si>
    <t xml:space="preserve">n_* counts, flock split</t>
  </si>
  <si>
    <t xml:space="preserve">Title status: document in hand (title deed / allotment letter / share certificate / search at lands registry)</t>
  </si>
  <si>
    <t xml:space="preserve">Official search by lawyer; copy of document</t>
  </si>
  <si>
    <t xml:space="preserve">title_ok, land value</t>
  </si>
  <si>
    <t xml:space="preserve">Acreage by use; grazing, fodder, crops; water source and reliability</t>
  </si>
  <si>
    <t xml:space="preserve">Walk with GPS phone app; photos</t>
  </si>
  <si>
    <t xml:space="preserve">acres, cat_forage, fx_water</t>
  </si>
  <si>
    <t xml:space="preserve">Daily milk per cow, bulked litres and buyer price received</t>
  </si>
  <si>
    <t xml:space="preserve">Daily tally sheet; buyer receipts / M-Pesa</t>
  </si>
  <si>
    <t xml:space="preserve">cows, lpd, lact, milk_price</t>
  </si>
  <si>
    <t xml:space="preserve">Daily eggs, feed bags opened, mortality (layers)</t>
  </si>
  <si>
    <t xml:space="preserve">Tally sheet at 17:00; photo of bags and trays</t>
  </si>
  <si>
    <t xml:space="preserve">hd, breakage, feed_g, ly_mort</t>
  </si>
  <si>
    <t xml:space="preserve">Feed purchases: item, bags, price, supplier</t>
  </si>
  <si>
    <t xml:space="preserve">Keep receipts; supplier quotes x3</t>
  </si>
  <si>
    <t xml:space="preserve">meal_price, lay_bag, gr_bag</t>
  </si>
  <si>
    <t xml:space="preserve">Sales: every animal/egg/bird sold, weight, price, buyer</t>
  </si>
  <si>
    <t xml:space="preserve">Sales book + M-Pesa statement</t>
  </si>
  <si>
    <t xml:space="preserve">cat_price, sh_price, gt_price, tray, kien/duck/guinea/geese price</t>
  </si>
  <si>
    <t xml:space="preserve">Hatch/purchase of chicks and pullets: price, supplier, mortality</t>
  </si>
  <si>
    <t xml:space="preserve">Receipts; mortality tally</t>
  </si>
  <si>
    <t xml:space="preserve">pullet, *_chick, *_mort</t>
  </si>
  <si>
    <t xml:space="preserve">Vet and drug spend; vaccination dates; vet-of-record quote</t>
  </si>
  <si>
    <t xml:space="preserve">Vet visit notes</t>
  </si>
  <si>
    <t xml:space="preserve">cat_vet, sm_vet, ly_vet</t>
  </si>
  <si>
    <t xml:space="preserve">Staff time log (who did what, hours) for 2 typical weeks</t>
  </si>
  <si>
    <t xml:space="preserve">Simple daily sheet</t>
  </si>
  <si>
    <t xml:space="preserve">h_cat ... h_gen</t>
  </si>
  <si>
    <t xml:space="preserve">Staff terms: contracts, start dates, relationships to owner, actual pay</t>
  </si>
  <si>
    <t xml:space="preserve">Interview; payslips</t>
  </si>
  <si>
    <t xml:space="preserve">w_sup, w_pou, w_gen, severance</t>
  </si>
  <si>
    <t xml:space="preserve">Owner hours actually spent and distance to farm</t>
  </si>
  <si>
    <t xml:space="preserve">Own log</t>
  </si>
  <si>
    <t xml:space="preserve">h_rem, visits, h_admin</t>
  </si>
  <si>
    <t xml:space="preserve">Lease and sale enquiries: 2 local indications of rent/acre and price/acre</t>
  </si>
  <si>
    <t xml:space="preserve">Local agents, neighbours; valuer later</t>
  </si>
  <si>
    <t xml:space="preserve">rent_acre, land_acre</t>
  </si>
  <si>
    <t xml:space="preserve">Lender/insurer requirements for unregistered land</t>
  </si>
  <si>
    <t xml:space="preserve">Phone SACCO/bank/insurer</t>
  </si>
  <si>
    <t xml:space="preserve">qualitative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</si>
</sst>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.0"/>
    <numFmt numFmtId="168" formatCode="0.00"/>
    <numFmt numFmtId="169" formatCode="#,##0.00"/>
    <numFmt numFmtId="170" formatCode="#,##0.0"/>
    <numFmt numFmtId="171" formatCode="0%"/>
    <numFmt numFmtId="172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CC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7DD"/>
        <bgColor rgb="FFF2F2F2"/>
      </patternFill>
    </fill>
    <fill>
      <patternFill patternType="solid">
        <fgColor rgb="FFF2F2F2"/>
        <bgColor rgb="FFDDE7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customFormat="false" ht="15" hidden="false" customHeight="false" outlineLevel="0" collapsed="false">
      <c r="A3" s="3" t="s">
        <v>15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0" t="s">
        <v>16</v>
      </c>
      <c r="B4" s="0" t="s">
        <v>17</v>
      </c>
      <c r="C4" s="5" t="n">
        <f aca="false">Farm_PnL!C9</f>
        <v>2158161.92</v>
      </c>
      <c r="D4" s="5" t="n">
        <f aca="false">Farm_PnL!D9</f>
        <v>2776511.75</v>
      </c>
      <c r="E4" s="5" t="n">
        <f aca="false">Farm_PnL!E9</f>
        <v>3568790.01428571</v>
      </c>
      <c r="F4" s="5" t="n">
        <f aca="false">D4/Inputs!$D$4</f>
        <v>21375.8699668951</v>
      </c>
    </row>
    <row r="5" customFormat="false" ht="15" hidden="false" customHeight="false" outlineLevel="0" collapsed="false">
      <c r="A5" s="0" t="s">
        <v>18</v>
      </c>
      <c r="B5" s="0" t="s">
        <v>17</v>
      </c>
      <c r="C5" s="5" t="n">
        <f aca="false">Farm_PnL!C17</f>
        <v>2545497.16822857</v>
      </c>
      <c r="D5" s="5" t="n">
        <f aca="false">Farm_PnL!D17</f>
        <v>2249279.51544643</v>
      </c>
      <c r="E5" s="5" t="n">
        <f aca="false">Farm_PnL!E17</f>
        <v>2051700.164</v>
      </c>
      <c r="F5" s="5" t="n">
        <f aca="false">D5/Inputs!$D$4</f>
        <v>17316.8027981094</v>
      </c>
    </row>
    <row r="6" customFormat="false" ht="15" hidden="false" customHeight="false" outlineLevel="0" collapsed="false">
      <c r="A6" s="0" t="s">
        <v>19</v>
      </c>
      <c r="B6" s="0" t="s">
        <v>17</v>
      </c>
      <c r="C6" s="5" t="n">
        <f aca="false">Farm_PnL!C16</f>
        <v>-387335.248228571</v>
      </c>
      <c r="D6" s="5" t="n">
        <f aca="false">Farm_PnL!D16</f>
        <v>527232.234553571</v>
      </c>
      <c r="E6" s="5" t="n">
        <f aca="false">Farm_PnL!E16</f>
        <v>1517089.85028571</v>
      </c>
      <c r="F6" s="5" t="n">
        <f aca="false">D6/Inputs!$D$4</f>
        <v>4059.06716878568</v>
      </c>
    </row>
    <row r="7" customFormat="false" ht="15" hidden="false" customHeight="false" outlineLevel="0" collapsed="false">
      <c r="A7" s="0" t="s">
        <v>20</v>
      </c>
      <c r="B7" s="0" t="s">
        <v>17</v>
      </c>
      <c r="C7" s="5" t="n">
        <f aca="false">Farm_PnL!C19</f>
        <v>535300</v>
      </c>
      <c r="D7" s="5" t="n">
        <f aca="false">Farm_PnL!D19</f>
        <v>532800</v>
      </c>
      <c r="E7" s="5" t="n">
        <f aca="false">Farm_PnL!E19</f>
        <v>530300</v>
      </c>
      <c r="F7" s="5" t="n">
        <f aca="false">D7/Inputs!$D$4</f>
        <v>4101.93240434214</v>
      </c>
    </row>
    <row r="8" customFormat="false" ht="15" hidden="false" customHeight="false" outlineLevel="0" collapsed="false">
      <c r="A8" s="0" t="s">
        <v>21</v>
      </c>
      <c r="B8" s="0" t="s">
        <v>17</v>
      </c>
      <c r="C8" s="5" t="n">
        <f aca="false">Farm_PnL!C28</f>
        <v>788300</v>
      </c>
      <c r="D8" s="5" t="n">
        <f aca="false">Farm_PnL!D28</f>
        <v>760800</v>
      </c>
      <c r="E8" s="5" t="n">
        <f aca="false">Farm_PnL!E28</f>
        <v>732300</v>
      </c>
      <c r="F8" s="5" t="n">
        <f aca="false">D8/Inputs!$D$4</f>
        <v>5857.26383863269</v>
      </c>
    </row>
    <row r="9" customFormat="false" ht="15" hidden="false" customHeight="false" outlineLevel="0" collapsed="false">
      <c r="A9" s="6" t="s">
        <v>22</v>
      </c>
      <c r="B9" s="7" t="s">
        <v>17</v>
      </c>
      <c r="C9" s="8" t="n">
        <f aca="false">Farm_PnL!C30</f>
        <v>-1175635.24822857</v>
      </c>
      <c r="D9" s="8" t="n">
        <f aca="false">Farm_PnL!D30</f>
        <v>-233567.765446429</v>
      </c>
      <c r="E9" s="8" t="n">
        <f aca="false">Farm_PnL!E30</f>
        <v>784789.850285714</v>
      </c>
      <c r="F9" s="5" t="n">
        <f aca="false">D9/Inputs!$D$4</f>
        <v>-1798.19666984701</v>
      </c>
    </row>
    <row r="10" customFormat="false" ht="15" hidden="false" customHeight="false" outlineLevel="0" collapsed="false">
      <c r="A10" s="0" t="s">
        <v>23</v>
      </c>
      <c r="B10" s="0" t="s">
        <v>17</v>
      </c>
      <c r="C10" s="5" t="n">
        <f aca="false">Farm_PnL!C32</f>
        <v>-1095635.24822857</v>
      </c>
      <c r="D10" s="5" t="n">
        <f aca="false">Farm_PnL!D32</f>
        <v>-153567.765446429</v>
      </c>
      <c r="E10" s="5" t="n">
        <f aca="false">Farm_PnL!E32</f>
        <v>864789.850285714</v>
      </c>
      <c r="F10" s="5" t="n">
        <f aca="false">D10/Inputs!$D$4</f>
        <v>-1182.29090342928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9" t="n">
        <f aca="false">Farm_PnL!C31</f>
        <v>-0.544739130708307</v>
      </c>
      <c r="D11" s="9" t="n">
        <f aca="false">Farm_PnL!D31</f>
        <v>-0.0841227361801832</v>
      </c>
      <c r="E11" s="9" t="n">
        <f aca="false">Farm_PnL!E31</f>
        <v>0.219903621996316</v>
      </c>
    </row>
    <row r="12" customFormat="false" ht="15" hidden="false" customHeight="false" outlineLevel="0" collapsed="false">
      <c r="A12" s="3" t="s">
        <v>26</v>
      </c>
      <c r="B12" s="4"/>
      <c r="C12" s="4"/>
      <c r="D12" s="4"/>
      <c r="E12" s="4"/>
      <c r="F12" s="4"/>
      <c r="G12" s="4"/>
    </row>
    <row r="13" customFormat="false" ht="15" hidden="false" customHeight="false" outlineLevel="0" collapsed="false">
      <c r="A13" s="0" t="s">
        <v>27</v>
      </c>
      <c r="B13" s="0" t="s">
        <v>17</v>
      </c>
      <c r="C13" s="5" t="n">
        <f aca="false">Farm_PnL!C11</f>
        <v>-63160</v>
      </c>
      <c r="D13" s="5" t="n">
        <f aca="false">Farm_PnL!D11</f>
        <v>107600</v>
      </c>
      <c r="E13" s="5" t="n">
        <f aca="false">Farm_PnL!E11</f>
        <v>329400</v>
      </c>
      <c r="F13" s="5" t="n">
        <f aca="false">D13/Inputs!$D$4</f>
        <v>828.393255831858</v>
      </c>
    </row>
    <row r="14" customFormat="false" ht="15" hidden="false" customHeight="false" outlineLevel="0" collapsed="false">
      <c r="A14" s="0" t="s">
        <v>28</v>
      </c>
      <c r="B14" s="0" t="s">
        <v>17</v>
      </c>
      <c r="C14" s="5" t="n">
        <f aca="false">Farm_PnL!C12</f>
        <v>17179.04</v>
      </c>
      <c r="D14" s="5" t="n">
        <f aca="false">Farm_PnL!D12</f>
        <v>119340.8</v>
      </c>
      <c r="E14" s="5" t="n">
        <f aca="false">Farm_PnL!E12</f>
        <v>255260.48</v>
      </c>
      <c r="F14" s="5" t="n">
        <f aca="false">D14/Inputs!$D$4</f>
        <v>918.783586111325</v>
      </c>
    </row>
    <row r="15" customFormat="false" ht="15" hidden="false" customHeight="false" outlineLevel="0" collapsed="false">
      <c r="A15" s="0" t="s">
        <v>29</v>
      </c>
      <c r="B15" s="0" t="s">
        <v>17</v>
      </c>
      <c r="C15" s="5" t="n">
        <f aca="false">Farm_PnL!C13</f>
        <v>17532.8</v>
      </c>
      <c r="D15" s="5" t="n">
        <f aca="false">Farm_PnL!D13</f>
        <v>39904</v>
      </c>
      <c r="E15" s="5" t="n">
        <f aca="false">Farm_PnL!E13</f>
        <v>69280.336</v>
      </c>
      <c r="F15" s="5" t="n">
        <f aca="false">D15/Inputs!$D$4</f>
        <v>307.213796289168</v>
      </c>
    </row>
    <row r="16" customFormat="false" ht="15" hidden="false" customHeight="false" outlineLevel="0" collapsed="false">
      <c r="A16" s="0" t="s">
        <v>30</v>
      </c>
      <c r="B16" s="0" t="s">
        <v>17</v>
      </c>
      <c r="C16" s="5" t="n">
        <f aca="false">Farm_PnL!C14</f>
        <v>-283031.373942857</v>
      </c>
      <c r="D16" s="5" t="n">
        <f aca="false">Farm_PnL!D14</f>
        <v>19600.2345535712</v>
      </c>
      <c r="E16" s="5" t="n">
        <f aca="false">Farm_PnL!E14</f>
        <v>328980.891428571</v>
      </c>
      <c r="F16" s="5" t="n">
        <f aca="false">D16/Inputs!$D$4</f>
        <v>150.898718558559</v>
      </c>
    </row>
    <row r="17" customFormat="false" ht="15" hidden="false" customHeight="false" outlineLevel="0" collapsed="false">
      <c r="A17" s="0" t="s">
        <v>31</v>
      </c>
      <c r="B17" s="0" t="s">
        <v>17</v>
      </c>
      <c r="C17" s="5" t="n">
        <f aca="false">Farm_PnL!C15</f>
        <v>-75855.7142857143</v>
      </c>
      <c r="D17" s="5" t="n">
        <f aca="false">Farm_PnL!D15</f>
        <v>240787.2</v>
      </c>
      <c r="E17" s="5" t="n">
        <f aca="false">Farm_PnL!E15</f>
        <v>534168.142857143</v>
      </c>
      <c r="F17" s="5" t="n">
        <f aca="false">D17/Inputs!$D$4</f>
        <v>1853.77781199477</v>
      </c>
    </row>
    <row r="18" customFormat="false" ht="15" hidden="false" customHeight="false" outlineLevel="0" collapsed="false">
      <c r="A18" s="3" t="s">
        <v>32</v>
      </c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0" t="s">
        <v>27</v>
      </c>
      <c r="B19" s="0" t="s">
        <v>33</v>
      </c>
      <c r="C19" s="5" t="n">
        <f aca="false">Farm_PnL!C35</f>
        <v>-43.2602739726027</v>
      </c>
      <c r="D19" s="5" t="n">
        <f aca="false">Farm_PnL!D35</f>
        <v>84.2270058708415</v>
      </c>
      <c r="E19" s="5" t="n">
        <f aca="false">Farm_PnL!E35</f>
        <v>282.020547945205</v>
      </c>
      <c r="F19" s="5" t="n">
        <f aca="false">D19/Inputs!$D$4</f>
        <v>0.648448732549399</v>
      </c>
    </row>
    <row r="20" customFormat="false" ht="15" hidden="false" customHeight="false" outlineLevel="0" collapsed="false">
      <c r="A20" s="0" t="s">
        <v>28</v>
      </c>
      <c r="B20" s="0" t="s">
        <v>33</v>
      </c>
      <c r="C20" s="5" t="n">
        <f aca="false">Farm_PnL!C36</f>
        <v>26.1477016742771</v>
      </c>
      <c r="D20" s="5" t="n">
        <f aca="false">Farm_PnL!D36</f>
        <v>217.974063926941</v>
      </c>
      <c r="E20" s="5" t="n">
        <f aca="false">Farm_PnL!E36</f>
        <v>537.956754478398</v>
      </c>
      <c r="F20" s="5" t="n">
        <f aca="false">D20/Inputs!$D$4</f>
        <v>1.67814353627639</v>
      </c>
    </row>
    <row r="21" customFormat="false" ht="15" hidden="false" customHeight="false" outlineLevel="0" collapsed="false">
      <c r="A21" s="0" t="s">
        <v>29</v>
      </c>
      <c r="B21" s="0" t="s">
        <v>33</v>
      </c>
      <c r="C21" s="5" t="n">
        <f aca="false">Farm_PnL!C37</f>
        <v>80.0584474885845</v>
      </c>
      <c r="D21" s="5" t="n">
        <f aca="false">Farm_PnL!D37</f>
        <v>218.652054794521</v>
      </c>
      <c r="E21" s="5" t="n">
        <f aca="false">Farm_PnL!E37</f>
        <v>421.798088280061</v>
      </c>
      <c r="F21" s="5" t="n">
        <f aca="false">D21/Inputs!$D$4</f>
        <v>1.68336326733791</v>
      </c>
    </row>
    <row r="22" customFormat="false" ht="15" hidden="false" customHeight="false" outlineLevel="0" collapsed="false">
      <c r="A22" s="0" t="s">
        <v>30</v>
      </c>
      <c r="B22" s="0" t="s">
        <v>33</v>
      </c>
      <c r="C22" s="5" t="n">
        <f aca="false">Farm_PnL!C38</f>
        <v>-430.79356764514</v>
      </c>
      <c r="D22" s="5" t="n">
        <f aca="false">Farm_PnL!D38</f>
        <v>35.7995151663401</v>
      </c>
      <c r="E22" s="5" t="n">
        <f aca="false">Farm_PnL!E38</f>
        <v>693.321162125545</v>
      </c>
      <c r="F22" s="5" t="n">
        <f aca="false">D22/Inputs!$D$4</f>
        <v>0.275614097823852</v>
      </c>
    </row>
    <row r="23" customFormat="false" ht="15" hidden="false" customHeight="false" outlineLevel="0" collapsed="false">
      <c r="A23" s="0" t="s">
        <v>34</v>
      </c>
      <c r="B23" s="0" t="s">
        <v>33</v>
      </c>
      <c r="C23" s="5" t="n">
        <f aca="false">Farm_PnL!C39</f>
        <v>-74.2228124126363</v>
      </c>
      <c r="D23" s="5" t="n">
        <f aca="false">Farm_PnL!D39</f>
        <v>263.876383561644</v>
      </c>
      <c r="E23" s="5" t="n">
        <f aca="false">Farm_PnL!E39</f>
        <v>665.215619996442</v>
      </c>
      <c r="F23" s="5" t="n">
        <f aca="false">D23/Inputs!$D$4</f>
        <v>2.03153732821344</v>
      </c>
    </row>
    <row r="24" customFormat="false" ht="15" hidden="false" customHeight="false" outlineLevel="0" collapsed="false">
      <c r="A24" s="3" t="s">
        <v>35</v>
      </c>
      <c r="B24" s="4"/>
      <c r="C24" s="4"/>
      <c r="D24" s="4"/>
      <c r="E24" s="4"/>
      <c r="F24" s="4"/>
      <c r="G24" s="4"/>
    </row>
    <row r="25" customFormat="false" ht="15" hidden="false" customHeight="false" outlineLevel="0" collapsed="false">
      <c r="A25" s="0" t="s">
        <v>36</v>
      </c>
      <c r="B25" s="0" t="s">
        <v>17</v>
      </c>
      <c r="C25" s="5" t="n">
        <f aca="false">B12!C11</f>
        <v>994000</v>
      </c>
      <c r="D25" s="5" t="n">
        <f aca="false">B12!D11</f>
        <v>994000</v>
      </c>
      <c r="E25" s="5" t="n">
        <f aca="false">B12!E11</f>
        <v>994000</v>
      </c>
      <c r="F25" s="5" t="n">
        <f aca="false">D25/Inputs!$D$4</f>
        <v>7652.6291477404</v>
      </c>
    </row>
    <row r="26" customFormat="false" ht="15" hidden="false" customHeight="false" outlineLevel="0" collapsed="false">
      <c r="A26" s="0" t="s">
        <v>37</v>
      </c>
      <c r="B26" s="0" t="s">
        <v>17</v>
      </c>
      <c r="C26" s="5" t="n">
        <f aca="false">B12!C12</f>
        <v>660000</v>
      </c>
      <c r="D26" s="5" t="n">
        <f aca="false">B12!D12</f>
        <v>660000</v>
      </c>
      <c r="E26" s="5" t="n">
        <f aca="false">B12!E12</f>
        <v>660000</v>
      </c>
      <c r="F26" s="5" t="n">
        <f aca="false">D26/Inputs!$D$4</f>
        <v>5081.22257294634</v>
      </c>
    </row>
    <row r="27" customFormat="false" ht="15" hidden="false" customHeight="false" outlineLevel="0" collapsed="false">
      <c r="A27" s="0" t="s">
        <v>38</v>
      </c>
      <c r="B27" s="0" t="s">
        <v>39</v>
      </c>
      <c r="C27" s="10" t="str">
        <f aca="false">B12!C75</f>
        <v>OMBM&lt;=0</v>
      </c>
      <c r="D27" s="10" t="str">
        <f aca="false">B12!D75</f>
        <v>OMBM&lt;=0</v>
      </c>
      <c r="E27" s="10" t="n">
        <f aca="false">B12!E75</f>
        <v>2.10757058007037</v>
      </c>
    </row>
    <row r="28" customFormat="false" ht="15" hidden="false" customHeight="false" outlineLevel="0" collapsed="false">
      <c r="A28" s="0" t="s">
        <v>40</v>
      </c>
      <c r="B28" s="0" t="s">
        <v>17</v>
      </c>
      <c r="C28" s="5" t="n">
        <f aca="false">B12!C17</f>
        <v>188000</v>
      </c>
      <c r="D28" s="5" t="n">
        <f aca="false">B12!D17</f>
        <v>188000</v>
      </c>
      <c r="E28" s="5" t="n">
        <f aca="false">B12!E17</f>
        <v>188000</v>
      </c>
      <c r="F28" s="5" t="n">
        <f aca="false">D28/Inputs!$D$4</f>
        <v>1447.37855108168</v>
      </c>
    </row>
    <row r="29" customFormat="false" ht="15" hidden="false" customHeight="false" outlineLevel="0" collapsed="false">
      <c r="A29" s="0" t="s">
        <v>41</v>
      </c>
      <c r="B29" s="0" t="s">
        <v>17</v>
      </c>
      <c r="C29" s="5" t="n">
        <f aca="false">B12!C18</f>
        <v>72000</v>
      </c>
      <c r="D29" s="5" t="n">
        <f aca="false">B12!D18</f>
        <v>72000</v>
      </c>
      <c r="E29" s="5" t="n">
        <f aca="false">B12!E18</f>
        <v>72000</v>
      </c>
      <c r="F29" s="5" t="n">
        <f aca="false">D29/Inputs!$D$4</f>
        <v>554.315189775964</v>
      </c>
    </row>
    <row r="30" customFormat="false" ht="15" hidden="false" customHeight="false" outlineLevel="0" collapsed="false">
      <c r="A30" s="3" t="s">
        <v>42</v>
      </c>
      <c r="B30" s="4"/>
      <c r="C30" s="4"/>
      <c r="D30" s="4"/>
      <c r="E30" s="4"/>
      <c r="F30" s="4"/>
      <c r="G30" s="4"/>
    </row>
    <row r="31" customFormat="false" ht="15" hidden="false" customHeight="false" outlineLevel="0" collapsed="false">
      <c r="A31" s="6" t="s">
        <v>43</v>
      </c>
      <c r="B31" s="7" t="s">
        <v>17</v>
      </c>
      <c r="C31" s="8" t="n">
        <f aca="false">B12!C14</f>
        <v>-3281095.21283143</v>
      </c>
      <c r="D31" s="8" t="n">
        <f aca="false">B12!D14</f>
        <v>-2181248.56060089</v>
      </c>
      <c r="E31" s="8" t="n">
        <f aca="false">B12!E14</f>
        <v>-987845.150944286</v>
      </c>
      <c r="F31" s="5" t="n">
        <f aca="false">D31/Inputs!$D$4</f>
        <v>-16793.044580806</v>
      </c>
    </row>
    <row r="32" customFormat="false" ht="15" hidden="false" customHeight="false" outlineLevel="0" collapsed="false">
      <c r="A32" s="6" t="s">
        <v>44</v>
      </c>
      <c r="B32" s="7" t="s">
        <v>17</v>
      </c>
      <c r="C32" s="8" t="n">
        <f aca="false">B12!C20</f>
        <v>-1894395.21283143</v>
      </c>
      <c r="D32" s="8" t="n">
        <f aca="false">B12!D20</f>
        <v>-710748.560600893</v>
      </c>
      <c r="E32" s="8" t="n">
        <f aca="false">B12!E20</f>
        <v>511654.849055714</v>
      </c>
      <c r="F32" s="5" t="n">
        <f aca="false">D32/Inputs!$D$4</f>
        <v>-5471.92671183997</v>
      </c>
    </row>
    <row r="33" customFormat="false" ht="15" hidden="false" customHeight="false" outlineLevel="0" collapsed="false">
      <c r="A33" s="6" t="s">
        <v>45</v>
      </c>
      <c r="B33" s="7" t="s">
        <v>17</v>
      </c>
      <c r="C33" s="8" t="n">
        <f aca="false">B12!C27</f>
        <v>11458.5</v>
      </c>
      <c r="D33" s="8" t="n">
        <f aca="false">B12!D27</f>
        <v>102458.5</v>
      </c>
      <c r="E33" s="8" t="n">
        <f aca="false">B12!E27</f>
        <v>238458.5</v>
      </c>
      <c r="F33" s="5" t="n">
        <f aca="false">D33/Inputs!$D$4</f>
        <v>788.809762106398</v>
      </c>
    </row>
    <row r="34" customFormat="false" ht="15" hidden="false" customHeight="false" outlineLevel="0" collapsed="false">
      <c r="A34" s="6" t="s">
        <v>46</v>
      </c>
      <c r="B34" s="7" t="s">
        <v>17</v>
      </c>
      <c r="C34" s="8" t="n">
        <f aca="false">B12!C30</f>
        <v>125571</v>
      </c>
      <c r="D34" s="8" t="n">
        <f aca="false">B12!D30</f>
        <v>159771</v>
      </c>
      <c r="E34" s="8" t="n">
        <f aca="false">B12!E30</f>
        <v>205371</v>
      </c>
      <c r="F34" s="5" t="n">
        <f aca="false">D34/Inputs!$D$4</f>
        <v>1230.04850257911</v>
      </c>
    </row>
    <row r="35" customFormat="false" ht="15" hidden="false" customHeight="false" outlineLevel="0" collapsed="false">
      <c r="A35" s="6" t="s">
        <v>47</v>
      </c>
      <c r="C35" s="0" t="str">
        <f aca="false">B12!C55</f>
        <v>Sale</v>
      </c>
      <c r="D35" s="0" t="str">
        <f aca="false">B12!D55</f>
        <v>Sale</v>
      </c>
      <c r="E35" s="0" t="str">
        <f aca="false">B12!E55</f>
        <v>Owner-operator, simplified</v>
      </c>
    </row>
    <row r="36" customFormat="false" ht="15" hidden="false" customHeight="false" outlineLevel="0" collapsed="false">
      <c r="A36" s="6" t="s">
        <v>48</v>
      </c>
      <c r="C36" s="0" t="str">
        <f aca="false">B12!C64</f>
        <v>No viable option (hold, simplify or fix title first)</v>
      </c>
      <c r="D36" s="0" t="str">
        <f aca="false">B12!D64</f>
        <v>No viable option (hold, simplify or fix title first)</v>
      </c>
      <c r="E36" s="0" t="str">
        <f aca="false">B12!E64</f>
        <v>Owner-operator, simplified</v>
      </c>
    </row>
    <row r="37" customFormat="false" ht="15" hidden="false" customHeight="false" outlineLevel="0" collapsed="false">
      <c r="A37" s="3" t="s">
        <v>49</v>
      </c>
      <c r="B37" s="4"/>
      <c r="C37" s="4"/>
      <c r="D37" s="4"/>
      <c r="E37" s="4"/>
      <c r="F37" s="4"/>
      <c r="G37" s="4"/>
    </row>
    <row r="38" customFormat="false" ht="15" hidden="false" customHeight="false" outlineLevel="0" collapsed="false">
      <c r="A38" s="0" t="s">
        <v>50</v>
      </c>
      <c r="B38" s="0" t="s">
        <v>17</v>
      </c>
      <c r="C38" s="5" t="str">
        <f aca="false">B12!C84</f>
        <v>n/a</v>
      </c>
      <c r="D38" s="5" t="n">
        <f aca="false">B12!D84</f>
        <v>6519457.64835716</v>
      </c>
      <c r="E38" s="5" t="n">
        <f aca="false">B12!E84</f>
        <v>2365177.24492535</v>
      </c>
      <c r="F38" s="5" t="n">
        <f aca="false">D38/Inputs!$D$4</f>
        <v>50192.1444942425</v>
      </c>
    </row>
    <row r="39" customFormat="false" ht="15" hidden="false" customHeight="false" outlineLevel="0" collapsed="false">
      <c r="A39" s="0" t="s">
        <v>51</v>
      </c>
      <c r="B39" s="0" t="s">
        <v>17</v>
      </c>
      <c r="C39" s="5" t="str">
        <f aca="false">B12!C88</f>
        <v>n/a</v>
      </c>
      <c r="D39" s="5" t="n">
        <f aca="false">B12!D88</f>
        <v>5375739.58618043</v>
      </c>
      <c r="E39" s="5" t="n">
        <f aca="false">B12!E88</f>
        <v>2334278.57322279</v>
      </c>
      <c r="F39" s="5" t="n">
        <f aca="false">D39/Inputs!$D$4</f>
        <v>41386.8626236079</v>
      </c>
    </row>
    <row r="40" customFormat="false" ht="15" hidden="false" customHeight="false" outlineLevel="0" collapsed="false">
      <c r="A40" s="0" t="s">
        <v>52</v>
      </c>
      <c r="B40" s="0" t="s">
        <v>17</v>
      </c>
      <c r="C40" s="5" t="str">
        <f aca="false">B12!C90</f>
        <v>n/a</v>
      </c>
      <c r="D40" s="5" t="n">
        <f aca="false">B12!D90</f>
        <v>14263408.5314668</v>
      </c>
      <c r="E40" s="5" t="n">
        <f aca="false">B12!E90</f>
        <v>5892589.03626625</v>
      </c>
      <c r="F40" s="5" t="n">
        <f aca="false">D40/Inputs!$D$4</f>
        <v>109811.44454128</v>
      </c>
    </row>
    <row r="41" customFormat="false" ht="15" hidden="false" customHeight="false" outlineLevel="0" collapsed="false">
      <c r="A41" s="0" t="s">
        <v>53</v>
      </c>
      <c r="B41" s="0" t="s">
        <v>54</v>
      </c>
      <c r="C41" s="5" t="n">
        <f aca="false">B12!C16</f>
        <v>712</v>
      </c>
      <c r="D41" s="5" t="n">
        <f aca="false">B12!D16</f>
        <v>460</v>
      </c>
      <c r="E41" s="5" t="n">
        <f aca="false">B12!E16</f>
        <v>298</v>
      </c>
    </row>
    <row r="42" customFormat="false" ht="15" hidden="false" customHeight="false" outlineLevel="0" collapsed="false">
      <c r="A42" s="0" t="s">
        <v>55</v>
      </c>
      <c r="B42" s="0" t="s">
        <v>56</v>
      </c>
      <c r="C42" s="10" t="n">
        <f aca="false">B12!C16/52</f>
        <v>13.6923076923077</v>
      </c>
      <c r="D42" s="10" t="n">
        <f aca="false">B12!D16/52</f>
        <v>8.84615384615385</v>
      </c>
      <c r="E42" s="10" t="n">
        <f aca="false">B12!E16/52</f>
        <v>5.73076923076923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0" t="s">
        <v>57</v>
      </c>
    </row>
    <row r="2" customFormat="false" ht="15" hidden="false" customHeight="false" outlineLevel="0" collapsed="false">
      <c r="A2" s="2" t="s">
        <v>58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59</v>
      </c>
      <c r="G2" s="2" t="s">
        <v>60</v>
      </c>
    </row>
    <row r="3" customFormat="false" ht="15" hidden="false" customHeight="false" outlineLevel="0" collapsed="false">
      <c r="A3" s="3" t="s">
        <v>61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0" t="s">
        <v>62</v>
      </c>
      <c r="B4" s="0" t="s">
        <v>63</v>
      </c>
      <c r="C4" s="11" t="n">
        <v>129.89</v>
      </c>
      <c r="D4" s="11" t="n">
        <v>129.89</v>
      </c>
      <c r="E4" s="11" t="n">
        <v>129.89</v>
      </c>
      <c r="F4" s="7" t="s">
        <v>64</v>
      </c>
      <c r="G4" s="7" t="s">
        <v>65</v>
      </c>
    </row>
    <row r="5" customFormat="false" ht="15" hidden="false" customHeight="false" outlineLevel="0" collapsed="false">
      <c r="A5" s="0" t="s">
        <v>66</v>
      </c>
      <c r="B5" s="0" t="s">
        <v>67</v>
      </c>
      <c r="C5" s="12" t="n">
        <v>0.02</v>
      </c>
      <c r="D5" s="12" t="n">
        <v>0.02</v>
      </c>
      <c r="E5" s="12" t="n">
        <v>0.02</v>
      </c>
      <c r="F5" s="7" t="s">
        <v>68</v>
      </c>
      <c r="G5" s="7" t="s">
        <v>69</v>
      </c>
    </row>
    <row r="6" customFormat="false" ht="15" hidden="false" customHeight="false" outlineLevel="0" collapsed="false">
      <c r="A6" s="0" t="s">
        <v>70</v>
      </c>
      <c r="B6" s="0" t="s">
        <v>67</v>
      </c>
      <c r="C6" s="12" t="n">
        <v>0</v>
      </c>
      <c r="D6" s="12" t="n">
        <v>0.01</v>
      </c>
      <c r="E6" s="12" t="n">
        <v>0.02</v>
      </c>
      <c r="F6" s="7" t="s">
        <v>68</v>
      </c>
      <c r="G6" s="7" t="s">
        <v>71</v>
      </c>
    </row>
    <row r="7" customFormat="false" ht="15" hidden="false" customHeight="false" outlineLevel="0" collapsed="false">
      <c r="A7" s="0" t="s">
        <v>72</v>
      </c>
      <c r="B7" s="0" t="s">
        <v>25</v>
      </c>
      <c r="C7" s="12" t="n">
        <v>0.05</v>
      </c>
      <c r="D7" s="12" t="n">
        <v>0.04</v>
      </c>
      <c r="E7" s="12" t="n">
        <v>0.03</v>
      </c>
      <c r="F7" s="7" t="s">
        <v>73</v>
      </c>
      <c r="G7" s="7" t="s">
        <v>74</v>
      </c>
    </row>
    <row r="8" customFormat="false" ht="15" hidden="false" customHeight="false" outlineLevel="0" collapsed="false">
      <c r="A8" s="0" t="s">
        <v>75</v>
      </c>
      <c r="B8" s="0" t="s">
        <v>33</v>
      </c>
      <c r="C8" s="13" t="n">
        <v>400</v>
      </c>
      <c r="D8" s="13" t="n">
        <v>300</v>
      </c>
      <c r="E8" s="13" t="n">
        <v>250</v>
      </c>
      <c r="F8" s="7" t="s">
        <v>68</v>
      </c>
      <c r="G8" s="7" t="s">
        <v>76</v>
      </c>
    </row>
    <row r="9" customFormat="false" ht="15" hidden="false" customHeight="false" outlineLevel="0" collapsed="false">
      <c r="A9" s="0" t="s">
        <v>77</v>
      </c>
      <c r="B9" s="0" t="s">
        <v>25</v>
      </c>
      <c r="C9" s="12" t="n">
        <v>0.05</v>
      </c>
      <c r="D9" s="12" t="n">
        <v>0.05</v>
      </c>
      <c r="E9" s="12" t="n">
        <v>0.05</v>
      </c>
      <c r="F9" s="7" t="s">
        <v>73</v>
      </c>
      <c r="G9" s="7" t="s">
        <v>78</v>
      </c>
    </row>
    <row r="10" customFormat="false" ht="15" hidden="false" customHeight="false" outlineLevel="0" collapsed="false">
      <c r="A10" s="3" t="s">
        <v>79</v>
      </c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0" t="s">
        <v>80</v>
      </c>
      <c r="B11" s="0" t="s">
        <v>81</v>
      </c>
      <c r="C11" s="13" t="n">
        <v>10</v>
      </c>
      <c r="D11" s="13" t="n">
        <v>10</v>
      </c>
      <c r="E11" s="13" t="n">
        <v>10</v>
      </c>
      <c r="F11" s="7" t="s">
        <v>64</v>
      </c>
      <c r="G11" s="7" t="s">
        <v>82</v>
      </c>
    </row>
    <row r="12" customFormat="false" ht="15" hidden="false" customHeight="false" outlineLevel="0" collapsed="false">
      <c r="A12" s="0" t="s">
        <v>83</v>
      </c>
      <c r="B12" s="0" t="s">
        <v>81</v>
      </c>
      <c r="C12" s="13" t="n">
        <v>50</v>
      </c>
      <c r="D12" s="13" t="n">
        <v>50</v>
      </c>
      <c r="E12" s="13" t="n">
        <v>50</v>
      </c>
      <c r="F12" s="7" t="s">
        <v>64</v>
      </c>
      <c r="G12" s="7" t="s">
        <v>84</v>
      </c>
    </row>
    <row r="13" customFormat="false" ht="15" hidden="false" customHeight="false" outlineLevel="0" collapsed="false">
      <c r="A13" s="0" t="s">
        <v>85</v>
      </c>
      <c r="B13" s="0" t="s">
        <v>81</v>
      </c>
      <c r="C13" s="13" t="n">
        <v>10</v>
      </c>
      <c r="D13" s="13" t="n">
        <v>10</v>
      </c>
      <c r="E13" s="13" t="n">
        <v>10</v>
      </c>
      <c r="F13" s="7" t="s">
        <v>64</v>
      </c>
      <c r="G13" s="7" t="s">
        <v>84</v>
      </c>
    </row>
    <row r="14" customFormat="false" ht="15" hidden="false" customHeight="false" outlineLevel="0" collapsed="false">
      <c r="A14" s="0" t="s">
        <v>30</v>
      </c>
      <c r="B14" s="0" t="s">
        <v>86</v>
      </c>
      <c r="C14" s="13" t="n">
        <v>300</v>
      </c>
      <c r="D14" s="13" t="n">
        <v>300</v>
      </c>
      <c r="E14" s="13" t="n">
        <v>300</v>
      </c>
      <c r="F14" s="7" t="s">
        <v>68</v>
      </c>
      <c r="G14" s="7" t="s">
        <v>87</v>
      </c>
    </row>
    <row r="15" customFormat="false" ht="15" hidden="false" customHeight="false" outlineLevel="0" collapsed="false">
      <c r="A15" s="0" t="s">
        <v>88</v>
      </c>
      <c r="B15" s="0" t="s">
        <v>86</v>
      </c>
      <c r="C15" s="13" t="n">
        <v>400</v>
      </c>
      <c r="D15" s="13" t="n">
        <v>400</v>
      </c>
      <c r="E15" s="13" t="n">
        <v>400</v>
      </c>
      <c r="F15" s="7" t="s">
        <v>68</v>
      </c>
      <c r="G15" s="7" t="s">
        <v>89</v>
      </c>
    </row>
    <row r="16" customFormat="false" ht="15" hidden="false" customHeight="false" outlineLevel="0" collapsed="false">
      <c r="A16" s="0" t="s">
        <v>90</v>
      </c>
      <c r="B16" s="0" t="s">
        <v>86</v>
      </c>
      <c r="C16" s="13" t="n">
        <v>120</v>
      </c>
      <c r="D16" s="13" t="n">
        <v>120</v>
      </c>
      <c r="E16" s="13" t="n">
        <v>120</v>
      </c>
      <c r="F16" s="7" t="s">
        <v>68</v>
      </c>
      <c r="G16" s="7" t="s">
        <v>89</v>
      </c>
    </row>
    <row r="17" customFormat="false" ht="15" hidden="false" customHeight="false" outlineLevel="0" collapsed="false">
      <c r="A17" s="0" t="s">
        <v>91</v>
      </c>
      <c r="B17" s="0" t="s">
        <v>86</v>
      </c>
      <c r="C17" s="13" t="n">
        <v>120</v>
      </c>
      <c r="D17" s="13" t="n">
        <v>120</v>
      </c>
      <c r="E17" s="13" t="n">
        <v>120</v>
      </c>
      <c r="F17" s="7" t="s">
        <v>68</v>
      </c>
      <c r="G17" s="7" t="s">
        <v>89</v>
      </c>
    </row>
    <row r="18" customFormat="false" ht="15" hidden="false" customHeight="false" outlineLevel="0" collapsed="false">
      <c r="A18" s="0" t="s">
        <v>92</v>
      </c>
      <c r="B18" s="0" t="s">
        <v>86</v>
      </c>
      <c r="C18" s="13" t="n">
        <v>60</v>
      </c>
      <c r="D18" s="13" t="n">
        <v>60</v>
      </c>
      <c r="E18" s="13" t="n">
        <v>60</v>
      </c>
      <c r="F18" s="7" t="s">
        <v>68</v>
      </c>
      <c r="G18" s="7" t="s">
        <v>89</v>
      </c>
    </row>
    <row r="19" customFormat="false" ht="15" hidden="false" customHeight="false" outlineLevel="0" collapsed="false">
      <c r="A19" s="0" t="s">
        <v>93</v>
      </c>
      <c r="B19" s="0" t="s">
        <v>94</v>
      </c>
      <c r="C19" s="11" t="n">
        <v>0.7</v>
      </c>
      <c r="D19" s="11" t="n">
        <v>0.7</v>
      </c>
      <c r="E19" s="11" t="n">
        <v>0.7</v>
      </c>
      <c r="F19" s="7" t="s">
        <v>73</v>
      </c>
      <c r="G19" s="7" t="s">
        <v>95</v>
      </c>
    </row>
    <row r="20" customFormat="false" ht="15" hidden="false" customHeight="false" outlineLevel="0" collapsed="false">
      <c r="A20" s="0" t="s">
        <v>96</v>
      </c>
      <c r="B20" s="0" t="s">
        <v>94</v>
      </c>
      <c r="C20" s="11" t="n">
        <v>0.1</v>
      </c>
      <c r="D20" s="11" t="n">
        <v>0.1</v>
      </c>
      <c r="E20" s="11" t="n">
        <v>0.1</v>
      </c>
      <c r="F20" s="7" t="s">
        <v>73</v>
      </c>
      <c r="G20" s="7" t="s">
        <v>97</v>
      </c>
    </row>
    <row r="21" customFormat="false" ht="15" hidden="false" customHeight="false" outlineLevel="0" collapsed="false">
      <c r="A21" s="0" t="s">
        <v>98</v>
      </c>
      <c r="B21" s="0" t="s">
        <v>99</v>
      </c>
      <c r="C21" s="11" t="n">
        <v>0.01</v>
      </c>
      <c r="D21" s="11" t="n">
        <v>0.01</v>
      </c>
      <c r="E21" s="11" t="n">
        <v>0.01</v>
      </c>
      <c r="F21" s="7" t="s">
        <v>73</v>
      </c>
      <c r="G21" s="7" t="s">
        <v>97</v>
      </c>
    </row>
    <row r="22" customFormat="false" ht="15" hidden="false" customHeight="false" outlineLevel="0" collapsed="false">
      <c r="A22" s="3" t="s">
        <v>100</v>
      </c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0" t="s">
        <v>101</v>
      </c>
      <c r="B23" s="0" t="s">
        <v>102</v>
      </c>
      <c r="C23" s="13" t="n">
        <v>12</v>
      </c>
      <c r="D23" s="13" t="n">
        <v>12</v>
      </c>
      <c r="E23" s="13" t="n">
        <v>12</v>
      </c>
      <c r="F23" s="7" t="s">
        <v>68</v>
      </c>
      <c r="G23" s="7" t="s">
        <v>103</v>
      </c>
    </row>
    <row r="24" customFormat="false" ht="15" hidden="false" customHeight="false" outlineLevel="0" collapsed="false">
      <c r="A24" s="0" t="s">
        <v>104</v>
      </c>
      <c r="B24" s="0" t="s">
        <v>105</v>
      </c>
      <c r="C24" s="13" t="n">
        <v>350000</v>
      </c>
      <c r="D24" s="13" t="n">
        <v>500000</v>
      </c>
      <c r="E24" s="13" t="n">
        <v>700000</v>
      </c>
      <c r="F24" s="7" t="s">
        <v>68</v>
      </c>
      <c r="G24" s="7" t="s">
        <v>106</v>
      </c>
    </row>
    <row r="25" customFormat="false" ht="15" hidden="false" customHeight="false" outlineLevel="0" collapsed="false">
      <c r="A25" s="0" t="s">
        <v>107</v>
      </c>
      <c r="B25" s="0" t="s">
        <v>17</v>
      </c>
      <c r="C25" s="13" t="n">
        <v>800000</v>
      </c>
      <c r="D25" s="13" t="n">
        <v>800000</v>
      </c>
      <c r="E25" s="13" t="n">
        <v>800000</v>
      </c>
      <c r="F25" s="7" t="s">
        <v>68</v>
      </c>
      <c r="G25" s="7" t="s">
        <v>108</v>
      </c>
    </row>
    <row r="26" customFormat="false" ht="15" hidden="false" customHeight="false" outlineLevel="0" collapsed="false">
      <c r="A26" s="0" t="s">
        <v>109</v>
      </c>
      <c r="B26" s="0" t="s">
        <v>110</v>
      </c>
      <c r="C26" s="13" t="n">
        <v>10</v>
      </c>
      <c r="D26" s="13" t="n">
        <v>10</v>
      </c>
      <c r="E26" s="13" t="n">
        <v>10</v>
      </c>
      <c r="F26" s="7" t="s">
        <v>68</v>
      </c>
    </row>
    <row r="27" customFormat="false" ht="15" hidden="false" customHeight="false" outlineLevel="0" collapsed="false">
      <c r="A27" s="0" t="s">
        <v>111</v>
      </c>
      <c r="B27" s="0" t="s">
        <v>112</v>
      </c>
      <c r="C27" s="12" t="n">
        <v>0.04</v>
      </c>
      <c r="D27" s="12" t="n">
        <v>0.03</v>
      </c>
      <c r="E27" s="12" t="n">
        <v>0.02</v>
      </c>
      <c r="F27" s="7" t="s">
        <v>68</v>
      </c>
    </row>
    <row r="28" customFormat="false" ht="15" hidden="false" customHeight="false" outlineLevel="0" collapsed="false">
      <c r="A28" s="3" t="s">
        <v>113</v>
      </c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0" t="s">
        <v>114</v>
      </c>
      <c r="B29" s="0" t="s">
        <v>81</v>
      </c>
      <c r="C29" s="13" t="n">
        <v>4</v>
      </c>
      <c r="D29" s="13" t="n">
        <v>4</v>
      </c>
      <c r="E29" s="13" t="n">
        <v>5</v>
      </c>
      <c r="F29" s="7" t="s">
        <v>68</v>
      </c>
      <c r="G29" s="7" t="s">
        <v>115</v>
      </c>
    </row>
    <row r="30" customFormat="false" ht="15" hidden="false" customHeight="false" outlineLevel="0" collapsed="false">
      <c r="A30" s="0" t="s">
        <v>116</v>
      </c>
      <c r="B30" s="0" t="s">
        <v>117</v>
      </c>
      <c r="C30" s="13" t="n">
        <v>7</v>
      </c>
      <c r="D30" s="13" t="n">
        <v>8</v>
      </c>
      <c r="E30" s="13" t="n">
        <v>9</v>
      </c>
      <c r="F30" s="7" t="s">
        <v>68</v>
      </c>
      <c r="G30" s="7" t="s">
        <v>118</v>
      </c>
    </row>
    <row r="31" customFormat="false" ht="15" hidden="false" customHeight="false" outlineLevel="0" collapsed="false">
      <c r="A31" s="0" t="s">
        <v>119</v>
      </c>
      <c r="B31" s="0" t="s">
        <v>120</v>
      </c>
      <c r="C31" s="13" t="n">
        <v>290</v>
      </c>
      <c r="D31" s="13" t="n">
        <v>300</v>
      </c>
      <c r="E31" s="13" t="n">
        <v>305</v>
      </c>
      <c r="F31" s="7" t="s">
        <v>68</v>
      </c>
    </row>
    <row r="32" customFormat="false" ht="15" hidden="false" customHeight="false" outlineLevel="0" collapsed="false">
      <c r="A32" s="0" t="s">
        <v>121</v>
      </c>
      <c r="B32" s="0" t="s">
        <v>122</v>
      </c>
      <c r="C32" s="13" t="n">
        <v>34</v>
      </c>
      <c r="D32" s="13" t="n">
        <v>38</v>
      </c>
      <c r="E32" s="13" t="n">
        <v>42</v>
      </c>
      <c r="F32" s="7" t="s">
        <v>73</v>
      </c>
      <c r="G32" s="7" t="s">
        <v>123</v>
      </c>
    </row>
    <row r="33" customFormat="false" ht="15" hidden="false" customHeight="false" outlineLevel="0" collapsed="false">
      <c r="A33" s="0" t="s">
        <v>124</v>
      </c>
      <c r="B33" s="0" t="s">
        <v>122</v>
      </c>
      <c r="C33" s="13" t="n">
        <v>3</v>
      </c>
      <c r="D33" s="14" t="n">
        <v>2.5</v>
      </c>
      <c r="E33" s="13" t="n">
        <v>2</v>
      </c>
      <c r="F33" s="7" t="s">
        <v>68</v>
      </c>
    </row>
    <row r="34" customFormat="false" ht="15" hidden="false" customHeight="false" outlineLevel="0" collapsed="false">
      <c r="A34" s="0" t="s">
        <v>125</v>
      </c>
      <c r="B34" s="0" t="s">
        <v>126</v>
      </c>
      <c r="C34" s="13" t="n">
        <v>3</v>
      </c>
      <c r="D34" s="13" t="n">
        <v>3</v>
      </c>
      <c r="E34" s="13" t="n">
        <v>3</v>
      </c>
      <c r="F34" s="7" t="s">
        <v>68</v>
      </c>
    </row>
    <row r="35" customFormat="false" ht="15" hidden="false" customHeight="false" outlineLevel="0" collapsed="false">
      <c r="A35" s="0" t="s">
        <v>127</v>
      </c>
      <c r="B35" s="0" t="s">
        <v>128</v>
      </c>
      <c r="C35" s="13" t="n">
        <v>56</v>
      </c>
      <c r="D35" s="13" t="n">
        <v>52</v>
      </c>
      <c r="E35" s="13" t="n">
        <v>48</v>
      </c>
      <c r="F35" s="7" t="s">
        <v>73</v>
      </c>
      <c r="G35" s="7" t="s">
        <v>129</v>
      </c>
    </row>
    <row r="36" customFormat="false" ht="15" hidden="false" customHeight="false" outlineLevel="0" collapsed="false">
      <c r="A36" s="0" t="s">
        <v>130</v>
      </c>
      <c r="B36" s="0" t="s">
        <v>131</v>
      </c>
      <c r="C36" s="13" t="n">
        <v>4000</v>
      </c>
      <c r="D36" s="13" t="n">
        <v>3000</v>
      </c>
      <c r="E36" s="13" t="n">
        <v>2000</v>
      </c>
      <c r="F36" s="7" t="s">
        <v>68</v>
      </c>
      <c r="G36" s="7" t="s">
        <v>132</v>
      </c>
    </row>
    <row r="37" customFormat="false" ht="15" hidden="false" customHeight="false" outlineLevel="0" collapsed="false">
      <c r="A37" s="0" t="s">
        <v>133</v>
      </c>
      <c r="B37" s="0" t="s">
        <v>131</v>
      </c>
      <c r="C37" s="13" t="n">
        <v>1800</v>
      </c>
      <c r="D37" s="13" t="n">
        <v>1800</v>
      </c>
      <c r="E37" s="13" t="n">
        <v>1800</v>
      </c>
      <c r="F37" s="7" t="s">
        <v>68</v>
      </c>
    </row>
    <row r="38" customFormat="false" ht="15" hidden="false" customHeight="false" outlineLevel="0" collapsed="false">
      <c r="A38" s="0" t="s">
        <v>134</v>
      </c>
      <c r="B38" s="0" t="s">
        <v>131</v>
      </c>
      <c r="C38" s="13" t="n">
        <v>7000</v>
      </c>
      <c r="D38" s="13" t="n">
        <v>6000</v>
      </c>
      <c r="E38" s="13" t="n">
        <v>5000</v>
      </c>
      <c r="F38" s="7" t="s">
        <v>68</v>
      </c>
      <c r="G38" s="7" t="s">
        <v>135</v>
      </c>
    </row>
    <row r="39" customFormat="false" ht="15" hidden="false" customHeight="false" outlineLevel="0" collapsed="false">
      <c r="A39" s="0" t="s">
        <v>136</v>
      </c>
      <c r="B39" s="0" t="s">
        <v>81</v>
      </c>
      <c r="C39" s="13" t="n">
        <v>1</v>
      </c>
      <c r="D39" s="13" t="n">
        <v>2</v>
      </c>
      <c r="E39" s="13" t="n">
        <v>2</v>
      </c>
      <c r="F39" s="7" t="s">
        <v>68</v>
      </c>
    </row>
    <row r="40" customFormat="false" ht="15" hidden="false" customHeight="false" outlineLevel="0" collapsed="false">
      <c r="A40" s="0" t="s">
        <v>137</v>
      </c>
      <c r="B40" s="0" t="s">
        <v>17</v>
      </c>
      <c r="C40" s="13" t="n">
        <v>32000</v>
      </c>
      <c r="D40" s="13" t="n">
        <v>40000</v>
      </c>
      <c r="E40" s="13" t="n">
        <v>50000</v>
      </c>
      <c r="F40" s="7" t="s">
        <v>73</v>
      </c>
      <c r="G40" s="7" t="s">
        <v>138</v>
      </c>
    </row>
    <row r="41" customFormat="false" ht="15" hidden="false" customHeight="false" outlineLevel="0" collapsed="false">
      <c r="A41" s="0" t="s">
        <v>139</v>
      </c>
      <c r="B41" s="0" t="s">
        <v>140</v>
      </c>
      <c r="C41" s="12" t="n">
        <v>0.04</v>
      </c>
      <c r="D41" s="12" t="n">
        <v>0.03</v>
      </c>
      <c r="E41" s="12" t="n">
        <v>0.02</v>
      </c>
      <c r="F41" s="7" t="s">
        <v>68</v>
      </c>
    </row>
    <row r="42" customFormat="false" ht="15" hidden="false" customHeight="false" outlineLevel="0" collapsed="false">
      <c r="A42" s="0" t="s">
        <v>141</v>
      </c>
      <c r="B42" s="0" t="s">
        <v>17</v>
      </c>
      <c r="C42" s="13" t="n">
        <v>60000</v>
      </c>
      <c r="D42" s="13" t="n">
        <v>60000</v>
      </c>
      <c r="E42" s="13" t="n">
        <v>60000</v>
      </c>
      <c r="F42" s="7" t="s">
        <v>68</v>
      </c>
    </row>
    <row r="43" customFormat="false" ht="15" hidden="false" customHeight="false" outlineLevel="0" collapsed="false">
      <c r="A43" s="3" t="s">
        <v>142</v>
      </c>
      <c r="B43" s="4"/>
      <c r="C43" s="4"/>
      <c r="D43" s="4"/>
      <c r="E43" s="4"/>
      <c r="F43" s="4"/>
      <c r="G43" s="4"/>
    </row>
    <row r="44" customFormat="false" ht="15" hidden="false" customHeight="false" outlineLevel="0" collapsed="false">
      <c r="A44" s="0" t="s">
        <v>143</v>
      </c>
      <c r="B44" s="0" t="s">
        <v>81</v>
      </c>
      <c r="C44" s="13" t="n">
        <v>40</v>
      </c>
      <c r="D44" s="13" t="n">
        <v>40</v>
      </c>
      <c r="E44" s="13" t="n">
        <v>40</v>
      </c>
      <c r="F44" s="7" t="s">
        <v>68</v>
      </c>
    </row>
    <row r="45" customFormat="false" ht="15" hidden="false" customHeight="false" outlineLevel="0" collapsed="false">
      <c r="A45" s="0" t="s">
        <v>144</v>
      </c>
      <c r="B45" s="0" t="s">
        <v>145</v>
      </c>
      <c r="C45" s="14" t="n">
        <v>0.8</v>
      </c>
      <c r="D45" s="13" t="n">
        <v>1</v>
      </c>
      <c r="E45" s="14" t="n">
        <v>1.2</v>
      </c>
      <c r="F45" s="7" t="s">
        <v>68</v>
      </c>
      <c r="G45" s="7" t="s">
        <v>146</v>
      </c>
    </row>
    <row r="46" customFormat="false" ht="15" hidden="false" customHeight="false" outlineLevel="0" collapsed="false">
      <c r="A46" s="0" t="s">
        <v>147</v>
      </c>
      <c r="B46" s="0" t="s">
        <v>25</v>
      </c>
      <c r="C46" s="12" t="n">
        <v>0.18</v>
      </c>
      <c r="D46" s="12" t="n">
        <v>0.15</v>
      </c>
      <c r="E46" s="12" t="n">
        <v>0.12</v>
      </c>
      <c r="F46" s="7" t="s">
        <v>68</v>
      </c>
    </row>
    <row r="47" customFormat="false" ht="15" hidden="false" customHeight="false" outlineLevel="0" collapsed="false">
      <c r="A47" s="0" t="s">
        <v>148</v>
      </c>
      <c r="B47" s="0" t="s">
        <v>149</v>
      </c>
      <c r="C47" s="13" t="n">
        <v>27</v>
      </c>
      <c r="D47" s="13" t="n">
        <v>28</v>
      </c>
      <c r="E47" s="13" t="n">
        <v>29</v>
      </c>
      <c r="F47" s="7" t="s">
        <v>73</v>
      </c>
      <c r="G47" s="7" t="s">
        <v>150</v>
      </c>
    </row>
    <row r="48" customFormat="false" ht="15" hidden="false" customHeight="false" outlineLevel="0" collapsed="false">
      <c r="A48" s="0" t="s">
        <v>151</v>
      </c>
      <c r="B48" s="0" t="s">
        <v>152</v>
      </c>
      <c r="C48" s="13" t="n">
        <v>210</v>
      </c>
      <c r="D48" s="13" t="n">
        <v>240</v>
      </c>
      <c r="E48" s="13" t="n">
        <v>280</v>
      </c>
      <c r="F48" s="7" t="s">
        <v>73</v>
      </c>
      <c r="G48" s="7" t="s">
        <v>153</v>
      </c>
    </row>
    <row r="49" customFormat="false" ht="15" hidden="false" customHeight="false" outlineLevel="0" collapsed="false">
      <c r="A49" s="0" t="s">
        <v>154</v>
      </c>
      <c r="B49" s="0" t="s">
        <v>131</v>
      </c>
      <c r="C49" s="13" t="n">
        <v>1200</v>
      </c>
      <c r="D49" s="13" t="n">
        <v>1000</v>
      </c>
      <c r="E49" s="13" t="n">
        <v>800</v>
      </c>
      <c r="F49" s="7" t="s">
        <v>68</v>
      </c>
    </row>
    <row r="50" customFormat="false" ht="15" hidden="false" customHeight="false" outlineLevel="0" collapsed="false">
      <c r="A50" s="0" t="s">
        <v>155</v>
      </c>
      <c r="B50" s="0" t="s">
        <v>131</v>
      </c>
      <c r="C50" s="13" t="n">
        <v>900</v>
      </c>
      <c r="D50" s="13" t="n">
        <v>800</v>
      </c>
      <c r="E50" s="13" t="n">
        <v>700</v>
      </c>
      <c r="F50" s="7" t="s">
        <v>68</v>
      </c>
    </row>
    <row r="51" customFormat="false" ht="15" hidden="false" customHeight="false" outlineLevel="0" collapsed="false">
      <c r="A51" s="0" t="s">
        <v>156</v>
      </c>
      <c r="B51" s="0" t="s">
        <v>131</v>
      </c>
      <c r="C51" s="13" t="n">
        <v>200</v>
      </c>
      <c r="D51" s="13" t="n">
        <v>200</v>
      </c>
      <c r="E51" s="13" t="n">
        <v>200</v>
      </c>
      <c r="F51" s="7" t="s">
        <v>68</v>
      </c>
    </row>
    <row r="52" customFormat="false" ht="15" hidden="false" customHeight="false" outlineLevel="0" collapsed="false">
      <c r="A52" s="0" t="s">
        <v>157</v>
      </c>
      <c r="B52" s="0" t="s">
        <v>158</v>
      </c>
      <c r="C52" s="12" t="n">
        <v>0.06</v>
      </c>
      <c r="D52" s="12" t="n">
        <v>0.04</v>
      </c>
      <c r="E52" s="12" t="n">
        <v>0.03</v>
      </c>
      <c r="F52" s="7" t="s">
        <v>68</v>
      </c>
    </row>
    <row r="53" customFormat="false" ht="15" hidden="false" customHeight="false" outlineLevel="0" collapsed="false">
      <c r="A53" s="0" t="s">
        <v>159</v>
      </c>
      <c r="B53" s="0" t="s">
        <v>17</v>
      </c>
      <c r="C53" s="13" t="n">
        <v>6000</v>
      </c>
      <c r="D53" s="13" t="n">
        <v>6000</v>
      </c>
      <c r="E53" s="13" t="n">
        <v>6000</v>
      </c>
      <c r="F53" s="7" t="s">
        <v>68</v>
      </c>
    </row>
    <row r="54" customFormat="false" ht="15" hidden="false" customHeight="false" outlineLevel="0" collapsed="false">
      <c r="A54" s="3" t="s">
        <v>160</v>
      </c>
      <c r="B54" s="4"/>
      <c r="C54" s="4"/>
      <c r="D54" s="4"/>
      <c r="E54" s="4"/>
      <c r="F54" s="4"/>
      <c r="G54" s="4"/>
    </row>
    <row r="55" customFormat="false" ht="15" hidden="false" customHeight="false" outlineLevel="0" collapsed="false">
      <c r="A55" s="0" t="s">
        <v>161</v>
      </c>
      <c r="B55" s="0" t="s">
        <v>81</v>
      </c>
      <c r="C55" s="13" t="n">
        <v>8</v>
      </c>
      <c r="D55" s="13" t="n">
        <v>8</v>
      </c>
      <c r="E55" s="13" t="n">
        <v>8</v>
      </c>
      <c r="F55" s="7" t="s">
        <v>68</v>
      </c>
    </row>
    <row r="56" customFormat="false" ht="15" hidden="false" customHeight="false" outlineLevel="0" collapsed="false">
      <c r="A56" s="0" t="s">
        <v>162</v>
      </c>
      <c r="B56" s="0" t="s">
        <v>145</v>
      </c>
      <c r="C56" s="14" t="n">
        <v>1.2</v>
      </c>
      <c r="D56" s="14" t="n">
        <v>1.4</v>
      </c>
      <c r="E56" s="14" t="n">
        <v>1.6</v>
      </c>
      <c r="F56" s="7" t="s">
        <v>68</v>
      </c>
    </row>
    <row r="57" customFormat="false" ht="15" hidden="false" customHeight="false" outlineLevel="0" collapsed="false">
      <c r="A57" s="0" t="s">
        <v>163</v>
      </c>
      <c r="B57" s="0" t="s">
        <v>25</v>
      </c>
      <c r="C57" s="12" t="n">
        <v>0.22</v>
      </c>
      <c r="D57" s="12" t="n">
        <v>0.2</v>
      </c>
      <c r="E57" s="12" t="n">
        <v>0.18</v>
      </c>
      <c r="F57" s="7" t="s">
        <v>68</v>
      </c>
    </row>
    <row r="58" customFormat="false" ht="15" hidden="false" customHeight="false" outlineLevel="0" collapsed="false">
      <c r="A58" s="0" t="s">
        <v>148</v>
      </c>
      <c r="B58" s="0" t="s">
        <v>149</v>
      </c>
      <c r="C58" s="13" t="n">
        <v>25</v>
      </c>
      <c r="D58" s="13" t="n">
        <v>26</v>
      </c>
      <c r="E58" s="13" t="n">
        <v>27</v>
      </c>
      <c r="F58" s="7" t="s">
        <v>73</v>
      </c>
      <c r="G58" s="7" t="s">
        <v>164</v>
      </c>
    </row>
    <row r="59" customFormat="false" ht="15" hidden="false" customHeight="false" outlineLevel="0" collapsed="false">
      <c r="A59" s="0" t="s">
        <v>151</v>
      </c>
      <c r="B59" s="0" t="s">
        <v>152</v>
      </c>
      <c r="C59" s="13" t="n">
        <v>220</v>
      </c>
      <c r="D59" s="13" t="n">
        <v>250</v>
      </c>
      <c r="E59" s="13" t="n">
        <v>290</v>
      </c>
      <c r="F59" s="7" t="s">
        <v>73</v>
      </c>
      <c r="G59" s="7" t="s">
        <v>165</v>
      </c>
    </row>
    <row r="60" customFormat="false" ht="15" hidden="false" customHeight="false" outlineLevel="0" collapsed="false">
      <c r="A60" s="0" t="s">
        <v>166</v>
      </c>
      <c r="B60" s="0" t="s">
        <v>131</v>
      </c>
      <c r="C60" s="13" t="n">
        <v>1200</v>
      </c>
      <c r="D60" s="13" t="n">
        <v>1000</v>
      </c>
      <c r="E60" s="13" t="n">
        <v>800</v>
      </c>
      <c r="F60" s="7" t="s">
        <v>68</v>
      </c>
    </row>
    <row r="61" customFormat="false" ht="15" hidden="false" customHeight="false" outlineLevel="0" collapsed="false">
      <c r="A61" s="0" t="s">
        <v>159</v>
      </c>
      <c r="B61" s="0" t="s">
        <v>17</v>
      </c>
      <c r="C61" s="13" t="n">
        <v>6500</v>
      </c>
      <c r="D61" s="13" t="n">
        <v>6500</v>
      </c>
      <c r="E61" s="13" t="n">
        <v>6500</v>
      </c>
      <c r="F61" s="7" t="s">
        <v>68</v>
      </c>
    </row>
    <row r="62" customFormat="false" ht="15" hidden="false" customHeight="false" outlineLevel="0" collapsed="false">
      <c r="A62" s="3" t="s">
        <v>167</v>
      </c>
      <c r="B62" s="4"/>
      <c r="C62" s="4"/>
      <c r="D62" s="4"/>
      <c r="E62" s="4"/>
      <c r="F62" s="4"/>
      <c r="G62" s="4"/>
    </row>
    <row r="63" customFormat="false" ht="15" hidden="false" customHeight="false" outlineLevel="0" collapsed="false">
      <c r="A63" s="0" t="s">
        <v>168</v>
      </c>
      <c r="B63" s="0" t="s">
        <v>25</v>
      </c>
      <c r="C63" s="12" t="n">
        <v>0.7</v>
      </c>
      <c r="D63" s="12" t="n">
        <v>0.75</v>
      </c>
      <c r="E63" s="12" t="n">
        <v>0.8</v>
      </c>
      <c r="F63" s="7" t="s">
        <v>73</v>
      </c>
      <c r="G63" s="7" t="s">
        <v>169</v>
      </c>
    </row>
    <row r="64" customFormat="false" ht="15" hidden="false" customHeight="false" outlineLevel="0" collapsed="false">
      <c r="A64" s="0" t="s">
        <v>170</v>
      </c>
      <c r="B64" s="0" t="s">
        <v>120</v>
      </c>
      <c r="C64" s="13" t="n">
        <v>345</v>
      </c>
      <c r="D64" s="13" t="n">
        <v>345</v>
      </c>
      <c r="E64" s="13" t="n">
        <v>345</v>
      </c>
      <c r="F64" s="7" t="s">
        <v>68</v>
      </c>
    </row>
    <row r="65" customFormat="false" ht="15" hidden="false" customHeight="false" outlineLevel="0" collapsed="false">
      <c r="A65" s="0" t="s">
        <v>171</v>
      </c>
      <c r="B65" s="0" t="s">
        <v>25</v>
      </c>
      <c r="C65" s="12" t="n">
        <v>0.04</v>
      </c>
      <c r="D65" s="12" t="n">
        <v>0.03</v>
      </c>
      <c r="E65" s="12" t="n">
        <v>0.025</v>
      </c>
      <c r="F65" s="7" t="s">
        <v>68</v>
      </c>
    </row>
    <row r="66" customFormat="false" ht="15" hidden="false" customHeight="false" outlineLevel="0" collapsed="false">
      <c r="A66" s="0" t="s">
        <v>172</v>
      </c>
      <c r="B66" s="0" t="s">
        <v>173</v>
      </c>
      <c r="C66" s="13" t="n">
        <v>360</v>
      </c>
      <c r="D66" s="13" t="n">
        <v>400</v>
      </c>
      <c r="E66" s="13" t="n">
        <v>450</v>
      </c>
      <c r="F66" s="7" t="s">
        <v>73</v>
      </c>
      <c r="G66" s="7" t="s">
        <v>174</v>
      </c>
    </row>
    <row r="67" customFormat="false" ht="15" hidden="false" customHeight="false" outlineLevel="0" collapsed="false">
      <c r="A67" s="0" t="s">
        <v>175</v>
      </c>
      <c r="B67" s="0" t="s">
        <v>176</v>
      </c>
      <c r="C67" s="13" t="n">
        <v>120</v>
      </c>
      <c r="D67" s="13" t="n">
        <v>115</v>
      </c>
      <c r="E67" s="13" t="n">
        <v>112</v>
      </c>
      <c r="F67" s="7" t="s">
        <v>73</v>
      </c>
      <c r="G67" s="7" t="s">
        <v>177</v>
      </c>
    </row>
    <row r="68" customFormat="false" ht="15" hidden="false" customHeight="false" outlineLevel="0" collapsed="false">
      <c r="A68" s="0" t="s">
        <v>178</v>
      </c>
      <c r="B68" s="0" t="s">
        <v>179</v>
      </c>
      <c r="C68" s="13" t="n">
        <v>4300</v>
      </c>
      <c r="D68" s="13" t="n">
        <v>3900</v>
      </c>
      <c r="E68" s="13" t="n">
        <v>3600</v>
      </c>
      <c r="F68" s="7" t="s">
        <v>73</v>
      </c>
      <c r="G68" s="7" t="s">
        <v>180</v>
      </c>
    </row>
    <row r="69" customFormat="false" ht="15" hidden="false" customHeight="false" outlineLevel="0" collapsed="false">
      <c r="A69" s="0" t="s">
        <v>181</v>
      </c>
      <c r="B69" s="0" t="s">
        <v>182</v>
      </c>
      <c r="C69" s="13" t="n">
        <v>14</v>
      </c>
      <c r="D69" s="13" t="n">
        <v>14</v>
      </c>
      <c r="E69" s="13" t="n">
        <v>14</v>
      </c>
      <c r="F69" s="7" t="s">
        <v>68</v>
      </c>
    </row>
    <row r="70" customFormat="false" ht="15" hidden="false" customHeight="false" outlineLevel="0" collapsed="false">
      <c r="A70" s="0" t="s">
        <v>183</v>
      </c>
      <c r="B70" s="0" t="s">
        <v>17</v>
      </c>
      <c r="C70" s="13" t="n">
        <v>850</v>
      </c>
      <c r="D70" s="13" t="n">
        <v>800</v>
      </c>
      <c r="E70" s="13" t="n">
        <v>750</v>
      </c>
      <c r="F70" s="7" t="s">
        <v>68</v>
      </c>
      <c r="G70" s="7" t="s">
        <v>184</v>
      </c>
    </row>
    <row r="71" customFormat="false" ht="15" hidden="false" customHeight="false" outlineLevel="0" collapsed="false">
      <c r="A71" s="0" t="s">
        <v>185</v>
      </c>
      <c r="B71" s="0" t="s">
        <v>186</v>
      </c>
      <c r="C71" s="12" t="n">
        <v>0.09</v>
      </c>
      <c r="D71" s="12" t="n">
        <v>0.07</v>
      </c>
      <c r="E71" s="12" t="n">
        <v>0.06</v>
      </c>
      <c r="F71" s="7" t="s">
        <v>68</v>
      </c>
    </row>
    <row r="72" customFormat="false" ht="15" hidden="false" customHeight="false" outlineLevel="0" collapsed="false">
      <c r="A72" s="0" t="s">
        <v>187</v>
      </c>
      <c r="B72" s="0" t="s">
        <v>188</v>
      </c>
      <c r="C72" s="13" t="n">
        <v>320</v>
      </c>
      <c r="D72" s="13" t="n">
        <v>350</v>
      </c>
      <c r="E72" s="13" t="n">
        <v>400</v>
      </c>
      <c r="F72" s="7" t="s">
        <v>68</v>
      </c>
    </row>
    <row r="73" customFormat="false" ht="15" hidden="false" customHeight="false" outlineLevel="0" collapsed="false">
      <c r="A73" s="0" t="s">
        <v>189</v>
      </c>
      <c r="B73" s="0" t="s">
        <v>190</v>
      </c>
      <c r="C73" s="13" t="n">
        <v>140</v>
      </c>
      <c r="D73" s="13" t="n">
        <v>120</v>
      </c>
      <c r="E73" s="13" t="n">
        <v>100</v>
      </c>
      <c r="F73" s="7" t="s">
        <v>68</v>
      </c>
    </row>
    <row r="74" customFormat="false" ht="15" hidden="false" customHeight="false" outlineLevel="0" collapsed="false">
      <c r="A74" s="0" t="s">
        <v>191</v>
      </c>
      <c r="B74" s="0" t="s">
        <v>17</v>
      </c>
      <c r="C74" s="13" t="n">
        <v>25</v>
      </c>
      <c r="D74" s="13" t="n">
        <v>25</v>
      </c>
      <c r="E74" s="13" t="n">
        <v>25</v>
      </c>
      <c r="F74" s="7" t="s">
        <v>68</v>
      </c>
    </row>
    <row r="75" customFormat="false" ht="15" hidden="false" customHeight="false" outlineLevel="0" collapsed="false">
      <c r="A75" s="0" t="s">
        <v>192</v>
      </c>
      <c r="B75" s="0" t="s">
        <v>193</v>
      </c>
      <c r="C75" s="12" t="n">
        <v>0.04</v>
      </c>
      <c r="D75" s="12" t="n">
        <v>0.03</v>
      </c>
      <c r="E75" s="12" t="n">
        <v>0.02</v>
      </c>
      <c r="F75" s="7" t="s">
        <v>68</v>
      </c>
    </row>
    <row r="76" customFormat="false" ht="15" hidden="false" customHeight="false" outlineLevel="0" collapsed="false">
      <c r="A76" s="0" t="s">
        <v>194</v>
      </c>
      <c r="B76" s="0" t="s">
        <v>17</v>
      </c>
      <c r="C76" s="13" t="n">
        <v>800</v>
      </c>
      <c r="D76" s="13" t="n">
        <v>800</v>
      </c>
      <c r="E76" s="13" t="n">
        <v>800</v>
      </c>
      <c r="F76" s="7" t="s">
        <v>68</v>
      </c>
    </row>
    <row r="77" customFormat="false" ht="15" hidden="false" customHeight="false" outlineLevel="0" collapsed="false">
      <c r="A77" s="3" t="s">
        <v>195</v>
      </c>
      <c r="B77" s="4"/>
      <c r="C77" s="4"/>
      <c r="D77" s="4"/>
      <c r="E77" s="4"/>
      <c r="F77" s="4"/>
      <c r="G77" s="4"/>
    </row>
    <row r="78" customFormat="false" ht="15" hidden="false" customHeight="false" outlineLevel="0" collapsed="false">
      <c r="A78" s="0" t="s">
        <v>196</v>
      </c>
      <c r="B78" s="0" t="s">
        <v>179</v>
      </c>
      <c r="C78" s="13" t="n">
        <v>4500</v>
      </c>
      <c r="D78" s="13" t="n">
        <v>4200</v>
      </c>
      <c r="E78" s="13" t="n">
        <v>3900</v>
      </c>
      <c r="F78" s="7" t="s">
        <v>73</v>
      </c>
      <c r="G78" s="7" t="s">
        <v>197</v>
      </c>
    </row>
    <row r="79" customFormat="false" ht="15" hidden="false" customHeight="false" outlineLevel="0" collapsed="false">
      <c r="A79" s="3" t="s">
        <v>198</v>
      </c>
      <c r="B79" s="4"/>
      <c r="C79" s="4"/>
      <c r="D79" s="4"/>
      <c r="E79" s="4"/>
      <c r="F79" s="4"/>
      <c r="G79" s="4"/>
    </row>
    <row r="80" customFormat="false" ht="15" hidden="false" customHeight="false" outlineLevel="0" collapsed="false">
      <c r="A80" s="0" t="s">
        <v>199</v>
      </c>
      <c r="B80" s="0" t="s">
        <v>145</v>
      </c>
      <c r="C80" s="13" t="n">
        <v>2</v>
      </c>
      <c r="D80" s="13" t="n">
        <v>2</v>
      </c>
      <c r="E80" s="13" t="n">
        <v>2</v>
      </c>
      <c r="F80" s="7" t="s">
        <v>68</v>
      </c>
    </row>
    <row r="81" customFormat="false" ht="15" hidden="false" customHeight="false" outlineLevel="0" collapsed="false">
      <c r="A81" s="0" t="s">
        <v>200</v>
      </c>
      <c r="B81" s="0" t="s">
        <v>25</v>
      </c>
      <c r="C81" s="12" t="n">
        <v>0.16</v>
      </c>
      <c r="D81" s="12" t="n">
        <v>0.12</v>
      </c>
      <c r="E81" s="12" t="n">
        <v>0.09</v>
      </c>
      <c r="F81" s="7" t="s">
        <v>68</v>
      </c>
    </row>
    <row r="82" customFormat="false" ht="15" hidden="false" customHeight="false" outlineLevel="0" collapsed="false">
      <c r="A82" s="0" t="s">
        <v>201</v>
      </c>
      <c r="B82" s="0" t="s">
        <v>188</v>
      </c>
      <c r="C82" s="13" t="n">
        <v>650</v>
      </c>
      <c r="D82" s="13" t="n">
        <v>750</v>
      </c>
      <c r="E82" s="13" t="n">
        <v>850</v>
      </c>
      <c r="F82" s="7" t="s">
        <v>73</v>
      </c>
      <c r="G82" s="7" t="s">
        <v>202</v>
      </c>
    </row>
    <row r="83" customFormat="false" ht="15" hidden="false" customHeight="false" outlineLevel="0" collapsed="false">
      <c r="A83" s="0" t="s">
        <v>203</v>
      </c>
      <c r="B83" s="0" t="s">
        <v>17</v>
      </c>
      <c r="C83" s="13" t="n">
        <v>190</v>
      </c>
      <c r="D83" s="13" t="n">
        <v>170</v>
      </c>
      <c r="E83" s="13" t="n">
        <v>155</v>
      </c>
      <c r="F83" s="7" t="s">
        <v>68</v>
      </c>
      <c r="G83" s="7" t="s">
        <v>204</v>
      </c>
    </row>
    <row r="84" customFormat="false" ht="15" hidden="false" customHeight="false" outlineLevel="0" collapsed="false">
      <c r="A84" s="0" t="s">
        <v>205</v>
      </c>
      <c r="B84" s="0" t="s">
        <v>126</v>
      </c>
      <c r="C84" s="14" t="n">
        <v>5.5</v>
      </c>
      <c r="D84" s="13" t="n">
        <v>5</v>
      </c>
      <c r="E84" s="14" t="n">
        <v>4.5</v>
      </c>
      <c r="F84" s="7" t="s">
        <v>68</v>
      </c>
      <c r="G84" s="7" t="s">
        <v>206</v>
      </c>
    </row>
    <row r="85" customFormat="false" ht="15" hidden="false" customHeight="false" outlineLevel="0" collapsed="false">
      <c r="A85" s="0" t="s">
        <v>207</v>
      </c>
      <c r="B85" s="0" t="s">
        <v>17</v>
      </c>
      <c r="C85" s="13" t="n">
        <v>60</v>
      </c>
      <c r="D85" s="13" t="n">
        <v>40</v>
      </c>
      <c r="E85" s="13" t="n">
        <v>30</v>
      </c>
      <c r="F85" s="7" t="s">
        <v>68</v>
      </c>
    </row>
    <row r="86" customFormat="false" ht="15" hidden="false" customHeight="false" outlineLevel="0" collapsed="false">
      <c r="A86" s="0" t="s">
        <v>208</v>
      </c>
      <c r="B86" s="0" t="s">
        <v>17</v>
      </c>
      <c r="C86" s="13" t="n">
        <v>500</v>
      </c>
      <c r="D86" s="13" t="n">
        <v>500</v>
      </c>
      <c r="E86" s="13" t="n">
        <v>500</v>
      </c>
      <c r="F86" s="7" t="s">
        <v>68</v>
      </c>
    </row>
    <row r="87" customFormat="false" ht="15" hidden="false" customHeight="false" outlineLevel="0" collapsed="false">
      <c r="A87" s="3" t="s">
        <v>90</v>
      </c>
      <c r="B87" s="4"/>
      <c r="C87" s="4"/>
      <c r="D87" s="4"/>
      <c r="E87" s="4"/>
      <c r="F87" s="4"/>
      <c r="G87" s="4"/>
    </row>
    <row r="88" customFormat="false" ht="15" hidden="false" customHeight="false" outlineLevel="0" collapsed="false">
      <c r="A88" s="0" t="s">
        <v>209</v>
      </c>
      <c r="B88" s="0" t="s">
        <v>145</v>
      </c>
      <c r="C88" s="13" t="n">
        <v>2</v>
      </c>
      <c r="D88" s="13" t="n">
        <v>2</v>
      </c>
      <c r="E88" s="13" t="n">
        <v>2</v>
      </c>
      <c r="F88" s="7" t="s">
        <v>68</v>
      </c>
    </row>
    <row r="89" customFormat="false" ht="15" hidden="false" customHeight="false" outlineLevel="0" collapsed="false">
      <c r="A89" s="0" t="s">
        <v>210</v>
      </c>
      <c r="B89" s="0" t="s">
        <v>25</v>
      </c>
      <c r="C89" s="12" t="n">
        <v>0.16</v>
      </c>
      <c r="D89" s="12" t="n">
        <v>0.12</v>
      </c>
      <c r="E89" s="12" t="n">
        <v>0.09</v>
      </c>
      <c r="F89" s="7" t="s">
        <v>68</v>
      </c>
    </row>
    <row r="90" customFormat="false" ht="15" hidden="false" customHeight="false" outlineLevel="0" collapsed="false">
      <c r="A90" s="0" t="s">
        <v>211</v>
      </c>
      <c r="B90" s="0" t="s">
        <v>188</v>
      </c>
      <c r="C90" s="13" t="n">
        <v>750</v>
      </c>
      <c r="D90" s="13" t="n">
        <v>900</v>
      </c>
      <c r="E90" s="13" t="n">
        <v>1050</v>
      </c>
      <c r="F90" s="7" t="s">
        <v>68</v>
      </c>
      <c r="G90" s="7" t="s">
        <v>212</v>
      </c>
    </row>
    <row r="91" customFormat="false" ht="15" hidden="false" customHeight="false" outlineLevel="0" collapsed="false">
      <c r="A91" s="0" t="s">
        <v>213</v>
      </c>
      <c r="B91" s="0" t="s">
        <v>17</v>
      </c>
      <c r="C91" s="13" t="n">
        <v>240</v>
      </c>
      <c r="D91" s="13" t="n">
        <v>220</v>
      </c>
      <c r="E91" s="13" t="n">
        <v>205</v>
      </c>
      <c r="F91" s="7" t="s">
        <v>68</v>
      </c>
      <c r="G91" s="7" t="s">
        <v>204</v>
      </c>
    </row>
    <row r="92" customFormat="false" ht="15" hidden="false" customHeight="false" outlineLevel="0" collapsed="false">
      <c r="A92" s="0" t="s">
        <v>214</v>
      </c>
      <c r="B92" s="0" t="s">
        <v>126</v>
      </c>
      <c r="C92" s="14" t="n">
        <v>6.5</v>
      </c>
      <c r="D92" s="13" t="n">
        <v>6</v>
      </c>
      <c r="E92" s="14" t="n">
        <v>5.5</v>
      </c>
      <c r="F92" s="7" t="s">
        <v>68</v>
      </c>
      <c r="G92" s="7" t="s">
        <v>206</v>
      </c>
    </row>
    <row r="93" customFormat="false" ht="15" hidden="false" customHeight="false" outlineLevel="0" collapsed="false">
      <c r="A93" s="0" t="s">
        <v>215</v>
      </c>
      <c r="B93" s="0" t="s">
        <v>17</v>
      </c>
      <c r="C93" s="13" t="n">
        <v>60</v>
      </c>
      <c r="D93" s="13" t="n">
        <v>40</v>
      </c>
      <c r="E93" s="13" t="n">
        <v>30</v>
      </c>
      <c r="F93" s="7" t="s">
        <v>68</v>
      </c>
    </row>
    <row r="94" customFormat="false" ht="15" hidden="false" customHeight="false" outlineLevel="0" collapsed="false">
      <c r="A94" s="0" t="s">
        <v>216</v>
      </c>
      <c r="B94" s="0" t="s">
        <v>17</v>
      </c>
      <c r="C94" s="13" t="n">
        <v>500</v>
      </c>
      <c r="D94" s="13" t="n">
        <v>500</v>
      </c>
      <c r="E94" s="13" t="n">
        <v>500</v>
      </c>
      <c r="F94" s="7" t="s">
        <v>68</v>
      </c>
    </row>
    <row r="95" customFormat="false" ht="15" hidden="false" customHeight="false" outlineLevel="0" collapsed="false">
      <c r="A95" s="3" t="s">
        <v>91</v>
      </c>
      <c r="B95" s="4"/>
      <c r="C95" s="4"/>
      <c r="D95" s="4"/>
      <c r="E95" s="4"/>
      <c r="F95" s="4"/>
      <c r="G95" s="4"/>
    </row>
    <row r="96" customFormat="false" ht="15" hidden="false" customHeight="false" outlineLevel="0" collapsed="false">
      <c r="A96" s="0" t="s">
        <v>217</v>
      </c>
      <c r="B96" s="0" t="s">
        <v>145</v>
      </c>
      <c r="C96" s="14" t="n">
        <v>1.5</v>
      </c>
      <c r="D96" s="14" t="n">
        <v>1.5</v>
      </c>
      <c r="E96" s="14" t="n">
        <v>1.5</v>
      </c>
      <c r="F96" s="7" t="s">
        <v>68</v>
      </c>
    </row>
    <row r="97" customFormat="false" ht="15" hidden="false" customHeight="false" outlineLevel="0" collapsed="false">
      <c r="A97" s="0" t="s">
        <v>218</v>
      </c>
      <c r="B97" s="0" t="s">
        <v>25</v>
      </c>
      <c r="C97" s="12" t="n">
        <v>0.26</v>
      </c>
      <c r="D97" s="12" t="n">
        <v>0.2</v>
      </c>
      <c r="E97" s="12" t="n">
        <v>0.15</v>
      </c>
      <c r="F97" s="7" t="s">
        <v>68</v>
      </c>
    </row>
    <row r="98" customFormat="false" ht="15" hidden="false" customHeight="false" outlineLevel="0" collapsed="false">
      <c r="A98" s="0" t="s">
        <v>219</v>
      </c>
      <c r="B98" s="0" t="s">
        <v>188</v>
      </c>
      <c r="C98" s="13" t="n">
        <v>700</v>
      </c>
      <c r="D98" s="13" t="n">
        <v>850</v>
      </c>
      <c r="E98" s="13" t="n">
        <v>1000</v>
      </c>
      <c r="F98" s="7" t="s">
        <v>68</v>
      </c>
      <c r="G98" s="7" t="s">
        <v>220</v>
      </c>
    </row>
    <row r="99" customFormat="false" ht="15" hidden="false" customHeight="false" outlineLevel="0" collapsed="false">
      <c r="A99" s="0" t="s">
        <v>221</v>
      </c>
      <c r="B99" s="0" t="s">
        <v>17</v>
      </c>
      <c r="C99" s="13" t="n">
        <v>280</v>
      </c>
      <c r="D99" s="13" t="n">
        <v>250</v>
      </c>
      <c r="E99" s="13" t="n">
        <v>230</v>
      </c>
      <c r="F99" s="7" t="s">
        <v>68</v>
      </c>
      <c r="G99" s="7" t="s">
        <v>204</v>
      </c>
    </row>
    <row r="100" customFormat="false" ht="15" hidden="false" customHeight="false" outlineLevel="0" collapsed="false">
      <c r="A100" s="0" t="s">
        <v>222</v>
      </c>
      <c r="B100" s="0" t="s">
        <v>126</v>
      </c>
      <c r="C100" s="14" t="n">
        <v>3.75</v>
      </c>
      <c r="D100" s="14" t="n">
        <v>3.5</v>
      </c>
      <c r="E100" s="14" t="n">
        <v>3.25</v>
      </c>
      <c r="F100" s="7" t="s">
        <v>68</v>
      </c>
      <c r="G100" s="7" t="s">
        <v>206</v>
      </c>
    </row>
    <row r="101" customFormat="false" ht="15" hidden="false" customHeight="false" outlineLevel="0" collapsed="false">
      <c r="A101" s="0" t="s">
        <v>223</v>
      </c>
      <c r="B101" s="0" t="s">
        <v>17</v>
      </c>
      <c r="C101" s="13" t="n">
        <v>60</v>
      </c>
      <c r="D101" s="13" t="n">
        <v>40</v>
      </c>
      <c r="E101" s="13" t="n">
        <v>30</v>
      </c>
      <c r="F101" s="7" t="s">
        <v>68</v>
      </c>
    </row>
    <row r="102" customFormat="false" ht="15" hidden="false" customHeight="false" outlineLevel="0" collapsed="false">
      <c r="A102" s="0" t="s">
        <v>224</v>
      </c>
      <c r="B102" s="0" t="s">
        <v>17</v>
      </c>
      <c r="C102" s="13" t="n">
        <v>450</v>
      </c>
      <c r="D102" s="13" t="n">
        <v>450</v>
      </c>
      <c r="E102" s="13" t="n">
        <v>450</v>
      </c>
      <c r="F102" s="7" t="s">
        <v>68</v>
      </c>
    </row>
    <row r="103" customFormat="false" ht="15" hidden="false" customHeight="false" outlineLevel="0" collapsed="false">
      <c r="A103" s="3" t="s">
        <v>92</v>
      </c>
      <c r="B103" s="4"/>
      <c r="C103" s="4"/>
      <c r="D103" s="4"/>
      <c r="E103" s="4"/>
      <c r="F103" s="4"/>
      <c r="G103" s="4"/>
    </row>
    <row r="104" customFormat="false" ht="15" hidden="false" customHeight="false" outlineLevel="0" collapsed="false">
      <c r="A104" s="0" t="s">
        <v>225</v>
      </c>
      <c r="B104" s="0" t="s">
        <v>145</v>
      </c>
      <c r="C104" s="13" t="n">
        <v>1</v>
      </c>
      <c r="D104" s="13" t="n">
        <v>1</v>
      </c>
      <c r="E104" s="13" t="n">
        <v>1</v>
      </c>
      <c r="F104" s="7" t="s">
        <v>68</v>
      </c>
    </row>
    <row r="105" customFormat="false" ht="15" hidden="false" customHeight="false" outlineLevel="0" collapsed="false">
      <c r="A105" s="0" t="s">
        <v>226</v>
      </c>
      <c r="B105" s="0" t="s">
        <v>25</v>
      </c>
      <c r="C105" s="12" t="n">
        <v>0.18</v>
      </c>
      <c r="D105" s="12" t="n">
        <v>0.12</v>
      </c>
      <c r="E105" s="12" t="n">
        <v>0.09</v>
      </c>
      <c r="F105" s="7" t="s">
        <v>68</v>
      </c>
    </row>
    <row r="106" customFormat="false" ht="15" hidden="false" customHeight="false" outlineLevel="0" collapsed="false">
      <c r="A106" s="0" t="s">
        <v>227</v>
      </c>
      <c r="B106" s="0" t="s">
        <v>188</v>
      </c>
      <c r="C106" s="13" t="n">
        <v>2300</v>
      </c>
      <c r="D106" s="13" t="n">
        <v>2800</v>
      </c>
      <c r="E106" s="13" t="n">
        <v>3300</v>
      </c>
      <c r="F106" s="7" t="s">
        <v>68</v>
      </c>
      <c r="G106" s="7" t="s">
        <v>228</v>
      </c>
    </row>
    <row r="107" customFormat="false" ht="15" hidden="false" customHeight="false" outlineLevel="0" collapsed="false">
      <c r="A107" s="0" t="s">
        <v>229</v>
      </c>
      <c r="B107" s="0" t="s">
        <v>17</v>
      </c>
      <c r="C107" s="13" t="n">
        <v>650</v>
      </c>
      <c r="D107" s="13" t="n">
        <v>600</v>
      </c>
      <c r="E107" s="13" t="n">
        <v>550</v>
      </c>
      <c r="F107" s="7" t="s">
        <v>68</v>
      </c>
      <c r="G107" s="7" t="s">
        <v>204</v>
      </c>
    </row>
    <row r="108" customFormat="false" ht="15" hidden="false" customHeight="false" outlineLevel="0" collapsed="false">
      <c r="A108" s="0" t="s">
        <v>230</v>
      </c>
      <c r="B108" s="0" t="s">
        <v>126</v>
      </c>
      <c r="C108" s="13" t="n">
        <v>7</v>
      </c>
      <c r="D108" s="13" t="n">
        <v>6</v>
      </c>
      <c r="E108" s="14" t="n">
        <v>5.5</v>
      </c>
      <c r="F108" s="7" t="s">
        <v>68</v>
      </c>
      <c r="G108" s="7" t="s">
        <v>206</v>
      </c>
    </row>
    <row r="109" customFormat="false" ht="15" hidden="false" customHeight="false" outlineLevel="0" collapsed="false">
      <c r="A109" s="0" t="s">
        <v>231</v>
      </c>
      <c r="B109" s="0" t="s">
        <v>17</v>
      </c>
      <c r="C109" s="13" t="n">
        <v>80</v>
      </c>
      <c r="D109" s="13" t="n">
        <v>60</v>
      </c>
      <c r="E109" s="13" t="n">
        <v>40</v>
      </c>
      <c r="F109" s="7" t="s">
        <v>68</v>
      </c>
    </row>
    <row r="110" customFormat="false" ht="15" hidden="false" customHeight="false" outlineLevel="0" collapsed="false">
      <c r="A110" s="0" t="s">
        <v>232</v>
      </c>
      <c r="B110" s="0" t="s">
        <v>17</v>
      </c>
      <c r="C110" s="13" t="n">
        <v>1500</v>
      </c>
      <c r="D110" s="13" t="n">
        <v>1500</v>
      </c>
      <c r="E110" s="13" t="n">
        <v>1500</v>
      </c>
      <c r="F110" s="7" t="s">
        <v>68</v>
      </c>
    </row>
    <row r="111" customFormat="false" ht="15" hidden="false" customHeight="false" outlineLevel="0" collapsed="false">
      <c r="A111" s="0" t="s">
        <v>233</v>
      </c>
      <c r="B111" s="0" t="s">
        <v>158</v>
      </c>
      <c r="C111" s="12" t="n">
        <v>0.05</v>
      </c>
      <c r="D111" s="12" t="n">
        <v>0.04</v>
      </c>
      <c r="E111" s="12" t="n">
        <v>0.03</v>
      </c>
      <c r="F111" s="7" t="s">
        <v>68</v>
      </c>
    </row>
    <row r="112" customFormat="false" ht="15" hidden="false" customHeight="false" outlineLevel="0" collapsed="false">
      <c r="A112" s="3" t="s">
        <v>234</v>
      </c>
      <c r="B112" s="4"/>
      <c r="C112" s="4"/>
      <c r="D112" s="4"/>
      <c r="E112" s="4"/>
      <c r="F112" s="4"/>
      <c r="G112" s="4"/>
    </row>
    <row r="113" customFormat="false" ht="15" hidden="false" customHeight="false" outlineLevel="0" collapsed="false">
      <c r="A113" s="0" t="s">
        <v>235</v>
      </c>
      <c r="B113" s="0" t="s">
        <v>236</v>
      </c>
      <c r="C113" s="14" t="n">
        <v>7997.33</v>
      </c>
      <c r="D113" s="14" t="n">
        <v>7997.33</v>
      </c>
      <c r="E113" s="14" t="n">
        <v>7997.33</v>
      </c>
      <c r="F113" s="7" t="s">
        <v>64</v>
      </c>
      <c r="G113" s="7" t="s">
        <v>237</v>
      </c>
    </row>
    <row r="114" customFormat="false" ht="15" hidden="false" customHeight="false" outlineLevel="0" collapsed="false">
      <c r="A114" s="0" t="s">
        <v>238</v>
      </c>
      <c r="B114" s="0" t="s">
        <v>236</v>
      </c>
      <c r="C114" s="14" t="n">
        <v>9235.78</v>
      </c>
      <c r="D114" s="14" t="n">
        <v>9235.78</v>
      </c>
      <c r="E114" s="14" t="n">
        <v>9235.78</v>
      </c>
      <c r="F114" s="7" t="s">
        <v>64</v>
      </c>
      <c r="G114" s="7" t="s">
        <v>239</v>
      </c>
    </row>
    <row r="115" customFormat="false" ht="15" hidden="false" customHeight="false" outlineLevel="0" collapsed="false">
      <c r="A115" s="0" t="s">
        <v>240</v>
      </c>
      <c r="B115" s="0" t="s">
        <v>236</v>
      </c>
      <c r="C115" s="14" t="n">
        <v>14427.13</v>
      </c>
      <c r="D115" s="14" t="n">
        <v>14427.13</v>
      </c>
      <c r="E115" s="14" t="n">
        <v>14427.13</v>
      </c>
      <c r="F115" s="7" t="s">
        <v>64</v>
      </c>
      <c r="G115" s="7" t="s">
        <v>241</v>
      </c>
    </row>
    <row r="116" customFormat="false" ht="15" hidden="false" customHeight="false" outlineLevel="0" collapsed="false">
      <c r="A116" s="0" t="s">
        <v>242</v>
      </c>
      <c r="B116" s="0" t="s">
        <v>236</v>
      </c>
      <c r="C116" s="13" t="n">
        <v>18000</v>
      </c>
      <c r="D116" s="13" t="n">
        <v>18000</v>
      </c>
      <c r="E116" s="13" t="n">
        <v>18000</v>
      </c>
      <c r="F116" s="7" t="s">
        <v>68</v>
      </c>
      <c r="G116" s="7" t="s">
        <v>243</v>
      </c>
    </row>
    <row r="117" customFormat="false" ht="15" hidden="false" customHeight="false" outlineLevel="0" collapsed="false">
      <c r="A117" s="0" t="s">
        <v>244</v>
      </c>
      <c r="B117" s="0" t="s">
        <v>236</v>
      </c>
      <c r="C117" s="13" t="n">
        <v>11500</v>
      </c>
      <c r="D117" s="13" t="n">
        <v>11500</v>
      </c>
      <c r="E117" s="13" t="n">
        <v>11500</v>
      </c>
      <c r="F117" s="7" t="s">
        <v>68</v>
      </c>
      <c r="G117" s="7" t="s">
        <v>245</v>
      </c>
    </row>
    <row r="118" customFormat="false" ht="15" hidden="false" customHeight="false" outlineLevel="0" collapsed="false">
      <c r="A118" s="0" t="s">
        <v>246</v>
      </c>
      <c r="B118" s="0" t="s">
        <v>236</v>
      </c>
      <c r="C118" s="13" t="n">
        <v>10500</v>
      </c>
      <c r="D118" s="13" t="n">
        <v>10500</v>
      </c>
      <c r="E118" s="13" t="n">
        <v>10500</v>
      </c>
      <c r="F118" s="7" t="s">
        <v>68</v>
      </c>
      <c r="G118" s="7" t="s">
        <v>245</v>
      </c>
    </row>
    <row r="119" customFormat="false" ht="15" hidden="false" customHeight="false" outlineLevel="0" collapsed="false">
      <c r="A119" s="0" t="s">
        <v>247</v>
      </c>
      <c r="B119" s="0" t="s">
        <v>248</v>
      </c>
      <c r="C119" s="12" t="n">
        <v>0.06</v>
      </c>
      <c r="D119" s="12" t="n">
        <v>0.06</v>
      </c>
      <c r="E119" s="12" t="n">
        <v>0.06</v>
      </c>
      <c r="F119" s="7" t="s">
        <v>64</v>
      </c>
      <c r="G119" s="7" t="s">
        <v>249</v>
      </c>
    </row>
    <row r="120" customFormat="false" ht="15" hidden="false" customHeight="false" outlineLevel="0" collapsed="false">
      <c r="A120" s="0" t="s">
        <v>250</v>
      </c>
      <c r="B120" s="0" t="s">
        <v>248</v>
      </c>
      <c r="C120" s="12" t="n">
        <v>0.015</v>
      </c>
      <c r="D120" s="12" t="n">
        <v>0.015</v>
      </c>
      <c r="E120" s="12" t="n">
        <v>0.015</v>
      </c>
      <c r="F120" s="7" t="s">
        <v>73</v>
      </c>
      <c r="G120" s="7" t="s">
        <v>251</v>
      </c>
    </row>
    <row r="121" customFormat="false" ht="15" hidden="false" customHeight="false" outlineLevel="0" collapsed="false">
      <c r="A121" s="0" t="s">
        <v>252</v>
      </c>
      <c r="B121" s="0" t="s">
        <v>253</v>
      </c>
      <c r="C121" s="13" t="n">
        <v>50</v>
      </c>
      <c r="D121" s="13" t="n">
        <v>50</v>
      </c>
      <c r="E121" s="13" t="n">
        <v>50</v>
      </c>
      <c r="F121" s="7" t="s">
        <v>68</v>
      </c>
      <c r="G121" s="7" t="s">
        <v>254</v>
      </c>
    </row>
    <row r="122" customFormat="false" ht="15" hidden="false" customHeight="false" outlineLevel="0" collapsed="false">
      <c r="A122" s="0" t="s">
        <v>255</v>
      </c>
      <c r="B122" s="0" t="s">
        <v>120</v>
      </c>
      <c r="C122" s="13" t="n">
        <v>35</v>
      </c>
      <c r="D122" s="13" t="n">
        <v>30</v>
      </c>
      <c r="E122" s="13" t="n">
        <v>25</v>
      </c>
      <c r="F122" s="7" t="s">
        <v>68</v>
      </c>
    </row>
    <row r="123" customFormat="false" ht="15" hidden="false" customHeight="false" outlineLevel="0" collapsed="false">
      <c r="A123" s="0" t="s">
        <v>256</v>
      </c>
      <c r="B123" s="0" t="s">
        <v>257</v>
      </c>
      <c r="C123" s="13" t="n">
        <v>500</v>
      </c>
      <c r="D123" s="13" t="n">
        <v>500</v>
      </c>
      <c r="E123" s="13" t="n">
        <v>500</v>
      </c>
      <c r="F123" s="7" t="s">
        <v>68</v>
      </c>
      <c r="G123" s="7" t="s">
        <v>258</v>
      </c>
    </row>
    <row r="124" customFormat="false" ht="15" hidden="false" customHeight="false" outlineLevel="0" collapsed="false">
      <c r="A124" s="0" t="s">
        <v>259</v>
      </c>
      <c r="B124" s="0" t="s">
        <v>54</v>
      </c>
      <c r="C124" s="13" t="n">
        <v>45</v>
      </c>
      <c r="D124" s="13" t="n">
        <v>45</v>
      </c>
      <c r="E124" s="13" t="n">
        <v>45</v>
      </c>
      <c r="F124" s="7" t="s">
        <v>64</v>
      </c>
      <c r="G124" s="7" t="s">
        <v>260</v>
      </c>
    </row>
    <row r="125" customFormat="false" ht="15" hidden="false" customHeight="false" outlineLevel="0" collapsed="false">
      <c r="A125" s="0" t="s">
        <v>261</v>
      </c>
      <c r="B125" s="0" t="s">
        <v>262</v>
      </c>
      <c r="C125" s="13" t="n">
        <v>48</v>
      </c>
      <c r="D125" s="13" t="n">
        <v>48</v>
      </c>
      <c r="E125" s="13" t="n">
        <v>48</v>
      </c>
      <c r="F125" s="7" t="s">
        <v>68</v>
      </c>
      <c r="G125" s="7" t="s">
        <v>263</v>
      </c>
    </row>
    <row r="126" customFormat="false" ht="15" hidden="false" customHeight="false" outlineLevel="0" collapsed="false">
      <c r="A126" s="0" t="s">
        <v>264</v>
      </c>
      <c r="B126" s="0" t="s">
        <v>265</v>
      </c>
      <c r="C126" s="13" t="n">
        <v>4</v>
      </c>
      <c r="D126" s="14" t="n">
        <v>3.5</v>
      </c>
      <c r="E126" s="14" t="n">
        <v>3.2</v>
      </c>
      <c r="F126" s="7" t="s">
        <v>68</v>
      </c>
      <c r="G126" s="7" t="s">
        <v>266</v>
      </c>
    </row>
    <row r="127" customFormat="false" ht="15" hidden="false" customHeight="false" outlineLevel="0" collapsed="false">
      <c r="A127" s="0" t="s">
        <v>267</v>
      </c>
      <c r="B127" s="0" t="s">
        <v>265</v>
      </c>
      <c r="C127" s="14" t="n">
        <v>1.8</v>
      </c>
      <c r="D127" s="14" t="n">
        <v>1.5</v>
      </c>
      <c r="E127" s="14" t="n">
        <v>1.3</v>
      </c>
      <c r="F127" s="7" t="s">
        <v>68</v>
      </c>
    </row>
    <row r="128" customFormat="false" ht="15" hidden="false" customHeight="false" outlineLevel="0" collapsed="false">
      <c r="A128" s="0" t="s">
        <v>268</v>
      </c>
      <c r="B128" s="0" t="s">
        <v>265</v>
      </c>
      <c r="C128" s="14" t="n">
        <v>0.6</v>
      </c>
      <c r="D128" s="14" t="n">
        <v>0.5</v>
      </c>
      <c r="E128" s="14" t="n">
        <v>0.45</v>
      </c>
      <c r="F128" s="7" t="s">
        <v>68</v>
      </c>
    </row>
    <row r="129" customFormat="false" ht="15" hidden="false" customHeight="false" outlineLevel="0" collapsed="false">
      <c r="A129" s="0" t="s">
        <v>269</v>
      </c>
      <c r="B129" s="0" t="s">
        <v>265</v>
      </c>
      <c r="C129" s="14" t="n">
        <v>1.8</v>
      </c>
      <c r="D129" s="14" t="n">
        <v>1.5</v>
      </c>
      <c r="E129" s="14" t="n">
        <v>1.3</v>
      </c>
      <c r="F129" s="7" t="s">
        <v>68</v>
      </c>
    </row>
    <row r="130" customFormat="false" ht="15" hidden="false" customHeight="false" outlineLevel="0" collapsed="false">
      <c r="A130" s="0" t="s">
        <v>270</v>
      </c>
      <c r="B130" s="0" t="s">
        <v>265</v>
      </c>
      <c r="C130" s="14" t="n">
        <v>2.8</v>
      </c>
      <c r="D130" s="14" t="n">
        <v>2.5</v>
      </c>
      <c r="E130" s="14" t="n">
        <v>2.2</v>
      </c>
      <c r="F130" s="7" t="s">
        <v>68</v>
      </c>
    </row>
    <row r="131" customFormat="false" ht="15" hidden="false" customHeight="false" outlineLevel="0" collapsed="false">
      <c r="A131" s="0" t="s">
        <v>271</v>
      </c>
      <c r="B131" s="0" t="s">
        <v>265</v>
      </c>
      <c r="C131" s="14" t="n">
        <v>1.8</v>
      </c>
      <c r="D131" s="14" t="n">
        <v>1.5</v>
      </c>
      <c r="E131" s="14" t="n">
        <v>1.3</v>
      </c>
      <c r="F131" s="7" t="s">
        <v>68</v>
      </c>
    </row>
    <row r="132" customFormat="false" ht="15" hidden="false" customHeight="false" outlineLevel="0" collapsed="false">
      <c r="A132" s="3" t="s">
        <v>272</v>
      </c>
      <c r="B132" s="4"/>
      <c r="C132" s="4"/>
      <c r="D132" s="4"/>
      <c r="E132" s="4"/>
      <c r="F132" s="4"/>
      <c r="G132" s="4"/>
    </row>
    <row r="133" customFormat="false" ht="15" hidden="false" customHeight="false" outlineLevel="0" collapsed="false">
      <c r="A133" s="0" t="s">
        <v>273</v>
      </c>
      <c r="B133" s="0" t="s">
        <v>190</v>
      </c>
      <c r="C133" s="13" t="n">
        <v>70000</v>
      </c>
      <c r="D133" s="13" t="n">
        <v>60000</v>
      </c>
      <c r="E133" s="13" t="n">
        <v>50000</v>
      </c>
      <c r="F133" s="7" t="s">
        <v>68</v>
      </c>
      <c r="G133" s="7" t="s">
        <v>274</v>
      </c>
    </row>
    <row r="134" customFormat="false" ht="15" hidden="false" customHeight="false" outlineLevel="0" collapsed="false">
      <c r="A134" s="0" t="s">
        <v>275</v>
      </c>
      <c r="B134" s="0" t="s">
        <v>190</v>
      </c>
      <c r="C134" s="13" t="n">
        <v>55000</v>
      </c>
      <c r="D134" s="13" t="n">
        <v>48000</v>
      </c>
      <c r="E134" s="13" t="n">
        <v>40000</v>
      </c>
      <c r="F134" s="7" t="s">
        <v>68</v>
      </c>
    </row>
    <row r="135" customFormat="false" ht="15" hidden="false" customHeight="false" outlineLevel="0" collapsed="false">
      <c r="A135" s="0" t="s">
        <v>276</v>
      </c>
      <c r="B135" s="0" t="s">
        <v>190</v>
      </c>
      <c r="C135" s="13" t="n">
        <v>10000</v>
      </c>
      <c r="D135" s="13" t="n">
        <v>10000</v>
      </c>
      <c r="E135" s="13" t="n">
        <v>10000</v>
      </c>
      <c r="F135" s="7" t="s">
        <v>68</v>
      </c>
    </row>
    <row r="136" customFormat="false" ht="15" hidden="false" customHeight="false" outlineLevel="0" collapsed="false">
      <c r="A136" s="0" t="s">
        <v>277</v>
      </c>
      <c r="B136" s="0" t="s">
        <v>190</v>
      </c>
      <c r="C136" s="13" t="n">
        <v>6000</v>
      </c>
      <c r="D136" s="13" t="n">
        <v>6000</v>
      </c>
      <c r="E136" s="13" t="n">
        <v>6000</v>
      </c>
      <c r="F136" s="7" t="s">
        <v>68</v>
      </c>
    </row>
    <row r="137" customFormat="false" ht="15" hidden="false" customHeight="false" outlineLevel="0" collapsed="false">
      <c r="A137" s="0" t="s">
        <v>278</v>
      </c>
      <c r="B137" s="0" t="s">
        <v>279</v>
      </c>
      <c r="C137" s="12" t="n">
        <v>0</v>
      </c>
      <c r="D137" s="12" t="n">
        <v>0</v>
      </c>
      <c r="E137" s="12" t="n">
        <v>0</v>
      </c>
      <c r="F137" s="7" t="s">
        <v>68</v>
      </c>
      <c r="G137" s="7" t="s">
        <v>280</v>
      </c>
    </row>
    <row r="138" customFormat="false" ht="15" hidden="false" customHeight="false" outlineLevel="0" collapsed="false">
      <c r="A138" s="3" t="s">
        <v>281</v>
      </c>
      <c r="B138" s="4"/>
      <c r="C138" s="4"/>
      <c r="D138" s="4"/>
      <c r="E138" s="4"/>
      <c r="F138" s="4"/>
      <c r="G138" s="4"/>
    </row>
    <row r="139" customFormat="false" ht="15" hidden="false" customHeight="false" outlineLevel="0" collapsed="false">
      <c r="A139" s="0" t="s">
        <v>282</v>
      </c>
      <c r="B139" s="0" t="s">
        <v>283</v>
      </c>
      <c r="C139" s="13" t="n">
        <v>450</v>
      </c>
      <c r="D139" s="13" t="n">
        <v>390</v>
      </c>
      <c r="E139" s="13" t="n">
        <v>330</v>
      </c>
      <c r="F139" s="7" t="s">
        <v>64</v>
      </c>
      <c r="G139" s="7" t="s">
        <v>284</v>
      </c>
    </row>
    <row r="140" customFormat="false" ht="15" hidden="false" customHeight="false" outlineLevel="0" collapsed="false">
      <c r="A140" s="0" t="s">
        <v>285</v>
      </c>
      <c r="B140" s="0" t="s">
        <v>56</v>
      </c>
      <c r="C140" s="13" t="n">
        <v>7</v>
      </c>
      <c r="D140" s="13" t="n">
        <v>5</v>
      </c>
      <c r="E140" s="13" t="n">
        <v>3</v>
      </c>
      <c r="F140" s="7" t="s">
        <v>68</v>
      </c>
      <c r="G140" s="7" t="s">
        <v>286</v>
      </c>
    </row>
    <row r="141" customFormat="false" ht="15" hidden="false" customHeight="false" outlineLevel="0" collapsed="false">
      <c r="A141" s="0" t="s">
        <v>287</v>
      </c>
      <c r="B141" s="0" t="s">
        <v>288</v>
      </c>
      <c r="C141" s="13" t="n">
        <v>24</v>
      </c>
      <c r="D141" s="13" t="n">
        <v>12</v>
      </c>
      <c r="E141" s="13" t="n">
        <v>8</v>
      </c>
      <c r="F141" s="7" t="s">
        <v>68</v>
      </c>
      <c r="G141" s="7" t="s">
        <v>289</v>
      </c>
    </row>
    <row r="142" customFormat="false" ht="15" hidden="false" customHeight="false" outlineLevel="0" collapsed="false">
      <c r="A142" s="0" t="s">
        <v>290</v>
      </c>
      <c r="B142" s="0" t="s">
        <v>54</v>
      </c>
      <c r="C142" s="13" t="n">
        <v>8</v>
      </c>
      <c r="D142" s="13" t="n">
        <v>8</v>
      </c>
      <c r="E142" s="13" t="n">
        <v>8</v>
      </c>
      <c r="F142" s="7" t="s">
        <v>68</v>
      </c>
    </row>
    <row r="143" customFormat="false" ht="15" hidden="false" customHeight="false" outlineLevel="0" collapsed="false">
      <c r="A143" s="0" t="s">
        <v>291</v>
      </c>
      <c r="B143" s="0" t="s">
        <v>56</v>
      </c>
      <c r="C143" s="13" t="n">
        <v>3</v>
      </c>
      <c r="D143" s="13" t="n">
        <v>2</v>
      </c>
      <c r="E143" s="14" t="n">
        <v>1.5</v>
      </c>
      <c r="F143" s="7" t="s">
        <v>68</v>
      </c>
      <c r="G143" s="7" t="s">
        <v>292</v>
      </c>
    </row>
    <row r="144" customFormat="false" ht="15" hidden="false" customHeight="false" outlineLevel="0" collapsed="false">
      <c r="A144" s="0" t="s">
        <v>293</v>
      </c>
      <c r="B144" s="0" t="s">
        <v>283</v>
      </c>
      <c r="C144" s="13" t="n">
        <v>40</v>
      </c>
      <c r="D144" s="13" t="n">
        <v>30</v>
      </c>
      <c r="E144" s="13" t="n">
        <v>20</v>
      </c>
      <c r="F144" s="7" t="s">
        <v>64</v>
      </c>
      <c r="G144" s="7" t="s">
        <v>294</v>
      </c>
    </row>
    <row r="145" customFormat="false" ht="15" hidden="false" customHeight="false" outlineLevel="0" collapsed="false">
      <c r="A145" s="0" t="s">
        <v>295</v>
      </c>
      <c r="B145" s="0" t="s">
        <v>296</v>
      </c>
      <c r="C145" s="13" t="n">
        <v>450000</v>
      </c>
      <c r="D145" s="13" t="n">
        <v>450000</v>
      </c>
      <c r="E145" s="13" t="n">
        <v>450000</v>
      </c>
      <c r="F145" s="7" t="s">
        <v>68</v>
      </c>
      <c r="G145" s="7" t="s">
        <v>297</v>
      </c>
    </row>
    <row r="146" customFormat="false" ht="15" hidden="false" customHeight="false" outlineLevel="0" collapsed="false">
      <c r="A146" s="0" t="s">
        <v>298</v>
      </c>
      <c r="B146" s="0" t="s">
        <v>296</v>
      </c>
      <c r="C146" s="13" t="n">
        <v>60000</v>
      </c>
      <c r="D146" s="13" t="n">
        <v>60000</v>
      </c>
      <c r="E146" s="13" t="n">
        <v>60000</v>
      </c>
      <c r="F146" s="7" t="s">
        <v>68</v>
      </c>
      <c r="G146" s="7" t="s">
        <v>299</v>
      </c>
    </row>
    <row r="147" customFormat="false" ht="15" hidden="false" customHeight="false" outlineLevel="0" collapsed="false">
      <c r="A147" s="0" t="s">
        <v>300</v>
      </c>
      <c r="B147" s="0" t="s">
        <v>110</v>
      </c>
      <c r="C147" s="13" t="n">
        <v>4</v>
      </c>
      <c r="D147" s="13" t="n">
        <v>4</v>
      </c>
      <c r="E147" s="13" t="n">
        <v>4</v>
      </c>
      <c r="F147" s="7" t="s">
        <v>73</v>
      </c>
      <c r="G147" s="7" t="s">
        <v>301</v>
      </c>
    </row>
    <row r="148" customFormat="false" ht="15" hidden="false" customHeight="false" outlineLevel="0" collapsed="false">
      <c r="A148" s="0" t="s">
        <v>302</v>
      </c>
      <c r="B148" s="0" t="s">
        <v>296</v>
      </c>
      <c r="C148" s="13" t="n">
        <v>80000</v>
      </c>
      <c r="D148" s="13" t="n">
        <v>80000</v>
      </c>
      <c r="E148" s="13" t="n">
        <v>80000</v>
      </c>
      <c r="F148" s="7" t="s">
        <v>68</v>
      </c>
    </row>
    <row r="149" customFormat="false" ht="15" hidden="false" customHeight="false" outlineLevel="0" collapsed="false">
      <c r="A149" s="0" t="s">
        <v>303</v>
      </c>
      <c r="B149" s="0" t="s">
        <v>304</v>
      </c>
      <c r="C149" s="14" t="n">
        <v>1.5</v>
      </c>
      <c r="D149" s="14" t="n">
        <v>1.5</v>
      </c>
      <c r="E149" s="14" t="n">
        <v>1.5</v>
      </c>
      <c r="F149" s="7" t="s">
        <v>68</v>
      </c>
      <c r="G149" s="7" t="s">
        <v>305</v>
      </c>
    </row>
    <row r="150" customFormat="false" ht="15" hidden="false" customHeight="false" outlineLevel="0" collapsed="false">
      <c r="A150" s="0" t="s">
        <v>306</v>
      </c>
      <c r="B150" s="0" t="s">
        <v>307</v>
      </c>
      <c r="C150" s="13" t="n">
        <v>6000</v>
      </c>
      <c r="D150" s="13" t="n">
        <v>8000</v>
      </c>
      <c r="E150" s="13" t="n">
        <v>10000</v>
      </c>
      <c r="F150" s="7" t="s">
        <v>73</v>
      </c>
      <c r="G150" s="7" t="s">
        <v>308</v>
      </c>
    </row>
    <row r="151" customFormat="false" ht="15" hidden="false" customHeight="false" outlineLevel="0" collapsed="false">
      <c r="A151" s="0" t="s">
        <v>309</v>
      </c>
      <c r="B151" s="0" t="s">
        <v>190</v>
      </c>
      <c r="C151" s="13" t="n">
        <v>20000</v>
      </c>
      <c r="D151" s="13" t="n">
        <v>20000</v>
      </c>
      <c r="E151" s="13" t="n">
        <v>20000</v>
      </c>
      <c r="F151" s="7" t="s">
        <v>68</v>
      </c>
      <c r="G151" s="7" t="s">
        <v>310</v>
      </c>
    </row>
    <row r="152" customFormat="false" ht="15" hidden="false" customHeight="false" outlineLevel="0" collapsed="false">
      <c r="A152" s="0" t="s">
        <v>311</v>
      </c>
      <c r="B152" s="0" t="s">
        <v>312</v>
      </c>
      <c r="C152" s="13" t="n">
        <v>0</v>
      </c>
      <c r="D152" s="13" t="n">
        <v>0</v>
      </c>
      <c r="E152" s="13" t="n">
        <v>0</v>
      </c>
      <c r="F152" s="7" t="s">
        <v>68</v>
      </c>
      <c r="G152" s="7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customFormat="false" ht="15" hidden="false" customHeight="false" outlineLevel="0" collapsed="false">
      <c r="A3" s="3" t="s">
        <v>315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0" t="s">
        <v>316</v>
      </c>
      <c r="B4" s="0" t="s">
        <v>317</v>
      </c>
      <c r="C4" s="5" t="n">
        <f aca="false">Inputs!C$29*Inputs!C$30*Inputs!C$31</f>
        <v>8120</v>
      </c>
      <c r="D4" s="5" t="n">
        <f aca="false">Inputs!D$29*Inputs!D$30*Inputs!D$31</f>
        <v>9600</v>
      </c>
      <c r="E4" s="5" t="n">
        <f aca="false">Inputs!E$29*Inputs!E$30*Inputs!E$31</f>
        <v>13725</v>
      </c>
    </row>
    <row r="5" customFormat="false" ht="15" hidden="false" customHeight="false" outlineLevel="0" collapsed="false">
      <c r="A5" s="3" t="s">
        <v>16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0" t="s">
        <v>318</v>
      </c>
      <c r="B6" s="0" t="s">
        <v>17</v>
      </c>
      <c r="C6" s="5" t="n">
        <f aca="false">C4*Inputs!C$32</f>
        <v>276080</v>
      </c>
      <c r="D6" s="5" t="n">
        <f aca="false">D4*Inputs!D$32</f>
        <v>364800</v>
      </c>
      <c r="E6" s="5" t="n">
        <f aca="false">E4*Inputs!E$32</f>
        <v>576450</v>
      </c>
      <c r="F6" s="5" t="n">
        <f aca="false">D6/Inputs!$D$4</f>
        <v>2808.53029486489</v>
      </c>
    </row>
    <row r="7" customFormat="false" ht="15" hidden="false" customHeight="false" outlineLevel="0" collapsed="false">
      <c r="A7" s="0" t="s">
        <v>319</v>
      </c>
      <c r="B7" s="0" t="s">
        <v>17</v>
      </c>
      <c r="C7" s="5" t="n">
        <f aca="false">Inputs!C$39*Inputs!C$40</f>
        <v>32000</v>
      </c>
      <c r="D7" s="5" t="n">
        <f aca="false">Inputs!D$39*Inputs!D$40</f>
        <v>80000</v>
      </c>
      <c r="E7" s="5" t="n">
        <f aca="false">Inputs!E$39*Inputs!E$40</f>
        <v>100000</v>
      </c>
      <c r="F7" s="5" t="n">
        <f aca="false">D7/Inputs!$D$4</f>
        <v>615.905766417738</v>
      </c>
    </row>
    <row r="8" customFormat="false" ht="15" hidden="false" customHeight="false" outlineLevel="0" collapsed="false">
      <c r="A8" s="6" t="s">
        <v>320</v>
      </c>
      <c r="B8" s="7" t="s">
        <v>17</v>
      </c>
      <c r="C8" s="8" t="n">
        <f aca="false">C6+C7</f>
        <v>308080</v>
      </c>
      <c r="D8" s="8" t="n">
        <f aca="false">D6+D7</f>
        <v>444800</v>
      </c>
      <c r="E8" s="8" t="n">
        <f aca="false">E6+E7</f>
        <v>676450</v>
      </c>
      <c r="F8" s="5" t="n">
        <f aca="false">D8/Inputs!$D$4</f>
        <v>3424.43606128262</v>
      </c>
    </row>
    <row r="9" customFormat="false" ht="15" hidden="false" customHeight="false" outlineLevel="0" collapsed="false">
      <c r="A9" s="3" t="s">
        <v>18</v>
      </c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0" t="s">
        <v>321</v>
      </c>
      <c r="B10" s="0" t="s">
        <v>17</v>
      </c>
      <c r="C10" s="5" t="n">
        <f aca="false">Inputs!C$29*Inputs!C$34*Inputs!C$31*Inputs!C$35</f>
        <v>194880</v>
      </c>
      <c r="D10" s="5" t="n">
        <f aca="false">Inputs!D$29*Inputs!D$34*Inputs!D$31*Inputs!D$35</f>
        <v>187200</v>
      </c>
      <c r="E10" s="5" t="n">
        <f aca="false">Inputs!E$29*Inputs!E$34*Inputs!E$31*Inputs!E$35</f>
        <v>219600</v>
      </c>
      <c r="F10" s="5" t="n">
        <f aca="false">D10/Inputs!$D$4</f>
        <v>1441.21949341751</v>
      </c>
    </row>
    <row r="11" customFormat="false" ht="15" hidden="false" customHeight="false" outlineLevel="0" collapsed="false">
      <c r="A11" s="0" t="s">
        <v>322</v>
      </c>
      <c r="B11" s="0" t="s">
        <v>17</v>
      </c>
      <c r="C11" s="5" t="n">
        <f aca="false">Inputs!C$11*Inputs!C$36</f>
        <v>40000</v>
      </c>
      <c r="D11" s="5" t="n">
        <f aca="false">Inputs!D$11*Inputs!D$36</f>
        <v>30000</v>
      </c>
      <c r="E11" s="5" t="n">
        <f aca="false">Inputs!E$11*Inputs!E$36</f>
        <v>20000</v>
      </c>
      <c r="F11" s="5" t="n">
        <f aca="false">D11/Inputs!$D$4</f>
        <v>230.964662406652</v>
      </c>
    </row>
    <row r="12" customFormat="false" ht="15" hidden="false" customHeight="false" outlineLevel="0" collapsed="false">
      <c r="A12" s="0" t="s">
        <v>323</v>
      </c>
      <c r="B12" s="0" t="s">
        <v>17</v>
      </c>
      <c r="C12" s="5" t="n">
        <f aca="false">Inputs!C$11*Inputs!C$37</f>
        <v>18000</v>
      </c>
      <c r="D12" s="5" t="n">
        <f aca="false">Inputs!D$11*Inputs!D$37</f>
        <v>18000</v>
      </c>
      <c r="E12" s="5" t="n">
        <f aca="false">Inputs!E$11*Inputs!E$37</f>
        <v>18000</v>
      </c>
      <c r="F12" s="5" t="n">
        <f aca="false">D12/Inputs!$D$4</f>
        <v>138.578797443991</v>
      </c>
    </row>
    <row r="13" customFormat="false" ht="15" hidden="false" customHeight="false" outlineLevel="0" collapsed="false">
      <c r="A13" s="0" t="s">
        <v>324</v>
      </c>
      <c r="B13" s="0" t="s">
        <v>17</v>
      </c>
      <c r="C13" s="5" t="n">
        <f aca="false">Inputs!C$11*Inputs!C$38</f>
        <v>70000</v>
      </c>
      <c r="D13" s="5" t="n">
        <f aca="false">Inputs!D$11*Inputs!D$38</f>
        <v>60000</v>
      </c>
      <c r="E13" s="5" t="n">
        <f aca="false">Inputs!E$11*Inputs!E$38</f>
        <v>50000</v>
      </c>
      <c r="F13" s="5" t="n">
        <f aca="false">D13/Inputs!$D$4</f>
        <v>461.929324813304</v>
      </c>
    </row>
    <row r="14" customFormat="false" ht="15" hidden="false" customHeight="false" outlineLevel="0" collapsed="false">
      <c r="A14" s="0" t="s">
        <v>325</v>
      </c>
      <c r="B14" s="0" t="s">
        <v>17</v>
      </c>
      <c r="C14" s="5" t="n">
        <f aca="false">C4*Inputs!C$33</f>
        <v>24360</v>
      </c>
      <c r="D14" s="5" t="n">
        <f aca="false">D4*Inputs!D$33</f>
        <v>24000</v>
      </c>
      <c r="E14" s="5" t="n">
        <f aca="false">E4*Inputs!E$33</f>
        <v>27450</v>
      </c>
      <c r="F14" s="5" t="n">
        <f aca="false">D14/Inputs!$D$4</f>
        <v>184.771729925321</v>
      </c>
    </row>
    <row r="15" customFormat="false" ht="15" hidden="false" customHeight="false" outlineLevel="0" collapsed="false">
      <c r="A15" s="0" t="s">
        <v>326</v>
      </c>
      <c r="B15" s="0" t="s">
        <v>17</v>
      </c>
      <c r="C15" s="5" t="n">
        <f aca="false">Inputs!C$11*Inputs!C$42*Inputs!C$41</f>
        <v>24000</v>
      </c>
      <c r="D15" s="5" t="n">
        <f aca="false">Inputs!D$11*Inputs!D$42*Inputs!D$41</f>
        <v>18000</v>
      </c>
      <c r="E15" s="5" t="n">
        <f aca="false">Inputs!E$11*Inputs!E$42*Inputs!E$41</f>
        <v>12000</v>
      </c>
      <c r="F15" s="5" t="n">
        <f aca="false">D15/Inputs!$D$4</f>
        <v>138.578797443991</v>
      </c>
    </row>
    <row r="16" customFormat="false" ht="15" hidden="false" customHeight="false" outlineLevel="0" collapsed="false">
      <c r="A16" s="6" t="s">
        <v>327</v>
      </c>
      <c r="B16" s="7" t="s">
        <v>17</v>
      </c>
      <c r="C16" s="8" t="n">
        <f aca="false">SUM(C10:C15)</f>
        <v>371240</v>
      </c>
      <c r="D16" s="8" t="n">
        <f aca="false">SUM(D10:D15)</f>
        <v>337200</v>
      </c>
      <c r="E16" s="8" t="n">
        <f aca="false">SUM(E10:E15)</f>
        <v>347050</v>
      </c>
      <c r="F16" s="5" t="n">
        <f aca="false">D16/Inputs!$D$4</f>
        <v>2596.04280545077</v>
      </c>
    </row>
    <row r="17" customFormat="false" ht="15" hidden="false" customHeight="false" outlineLevel="0" collapsed="false">
      <c r="A17" s="6" t="s">
        <v>328</v>
      </c>
      <c r="B17" s="7" t="s">
        <v>17</v>
      </c>
      <c r="C17" s="8" t="n">
        <f aca="false">C8-C16</f>
        <v>-63160</v>
      </c>
      <c r="D17" s="8" t="n">
        <f aca="false">D8-D16</f>
        <v>107600</v>
      </c>
      <c r="E17" s="8" t="n">
        <f aca="false">E8-E16</f>
        <v>329400</v>
      </c>
      <c r="F17" s="5" t="n">
        <f aca="false">D17/Inputs!$D$4</f>
        <v>828.393255831858</v>
      </c>
    </row>
    <row r="18" customFormat="false" ht="15" hidden="false" customHeight="false" outlineLevel="0" collapsed="false">
      <c r="A18" s="0" t="s">
        <v>329</v>
      </c>
      <c r="B18" s="0" t="s">
        <v>330</v>
      </c>
      <c r="C18" s="5" t="n">
        <f aca="false">C17/Inputs!C$11</f>
        <v>-6316</v>
      </c>
      <c r="D18" s="5" t="n">
        <f aca="false">D17/Inputs!D$11</f>
        <v>10760</v>
      </c>
      <c r="E18" s="5" t="n">
        <f aca="false">E17/Inputs!E$11</f>
        <v>32940</v>
      </c>
      <c r="F18" s="5" t="n">
        <f aca="false">D18/Inputs!$D$4</f>
        <v>82.8393255831858</v>
      </c>
    </row>
    <row r="19" customFormat="false" ht="15" hidden="false" customHeight="false" outlineLevel="0" collapsed="false">
      <c r="A19" s="0" t="s">
        <v>331</v>
      </c>
      <c r="B19" s="0" t="s">
        <v>17</v>
      </c>
      <c r="C19" s="5" t="n">
        <f aca="false">Inputs!C$11*Inputs!C$42</f>
        <v>600000</v>
      </c>
      <c r="D19" s="5" t="n">
        <f aca="false">Inputs!D$11*Inputs!D$42</f>
        <v>600000</v>
      </c>
      <c r="E19" s="5" t="n">
        <f aca="false">Inputs!E$11*Inputs!E$42</f>
        <v>600000</v>
      </c>
      <c r="F19" s="5" t="n">
        <f aca="false">D19/Inputs!$D$4</f>
        <v>4619.29324813304</v>
      </c>
    </row>
    <row r="20" customFormat="false" ht="15" hidden="false" customHeight="false" outlineLevel="0" collapsed="false">
      <c r="A20" s="0" t="s">
        <v>332</v>
      </c>
      <c r="B20" s="0" t="s">
        <v>17</v>
      </c>
      <c r="C20" s="5" t="n">
        <f aca="false">C10+C11</f>
        <v>234880</v>
      </c>
      <c r="D20" s="5" t="n">
        <f aca="false">D10+D11</f>
        <v>217200</v>
      </c>
      <c r="E20" s="5" t="n">
        <f aca="false">E10+E11</f>
        <v>239600</v>
      </c>
      <c r="F20" s="5" t="n">
        <f aca="false">D20/Inputs!$D$4</f>
        <v>1672.18415582416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333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customFormat="false" ht="15" hidden="false" customHeight="false" outlineLevel="0" collapsed="false">
      <c r="A3" s="3" t="s">
        <v>315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0" t="s">
        <v>334</v>
      </c>
      <c r="B4" s="0" t="s">
        <v>81</v>
      </c>
      <c r="C4" s="15" t="n">
        <f aca="false">MAX(0,Inputs!C$44*(Inputs!C$45-Inputs!C$46))</f>
        <v>24.8</v>
      </c>
      <c r="D4" s="15" t="n">
        <f aca="false">MAX(0,Inputs!D$44*(Inputs!D$45-Inputs!D$46))</f>
        <v>34</v>
      </c>
      <c r="E4" s="15" t="n">
        <f aca="false">MAX(0,Inputs!E$44*(Inputs!E$45-Inputs!E$46))</f>
        <v>43.2</v>
      </c>
    </row>
    <row r="5" customFormat="false" ht="15" hidden="false" customHeight="false" outlineLevel="0" collapsed="false">
      <c r="A5" s="0" t="s">
        <v>335</v>
      </c>
      <c r="B5" s="0" t="s">
        <v>17</v>
      </c>
      <c r="C5" s="5" t="n">
        <f aca="false">Inputs!C$47*Inputs!C$48</f>
        <v>5670</v>
      </c>
      <c r="D5" s="5" t="n">
        <f aca="false">Inputs!D$47*Inputs!D$48</f>
        <v>6720</v>
      </c>
      <c r="E5" s="5" t="n">
        <f aca="false">Inputs!E$47*Inputs!E$48</f>
        <v>8120</v>
      </c>
      <c r="F5" s="5" t="n">
        <f aca="false">D5/Inputs!$D$4</f>
        <v>51.73608437909</v>
      </c>
    </row>
    <row r="6" customFormat="false" ht="15" hidden="false" customHeight="false" outlineLevel="0" collapsed="false">
      <c r="A6" s="3" t="s">
        <v>16</v>
      </c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6" t="s">
        <v>336</v>
      </c>
      <c r="B7" s="7" t="s">
        <v>17</v>
      </c>
      <c r="C7" s="8" t="n">
        <f aca="false">C4*C5</f>
        <v>140616</v>
      </c>
      <c r="D7" s="8" t="n">
        <f aca="false">D4*D5</f>
        <v>228480</v>
      </c>
      <c r="E7" s="8" t="n">
        <f aca="false">E4*E5</f>
        <v>350784</v>
      </c>
      <c r="F7" s="5" t="n">
        <f aca="false">D7/Inputs!$D$4</f>
        <v>1759.02686888906</v>
      </c>
    </row>
    <row r="8" customFormat="false" ht="15" hidden="false" customHeight="false" outlineLevel="0" collapsed="false">
      <c r="A8" s="3" t="s">
        <v>18</v>
      </c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A9" s="0" t="s">
        <v>337</v>
      </c>
      <c r="B9" s="0" t="s">
        <v>17</v>
      </c>
      <c r="C9" s="5" t="n">
        <f aca="false">Inputs!C$12*Inputs!C$49</f>
        <v>60000</v>
      </c>
      <c r="D9" s="5" t="n">
        <f aca="false">Inputs!D$12*Inputs!D$49</f>
        <v>50000</v>
      </c>
      <c r="E9" s="5" t="n">
        <f aca="false">Inputs!E$12*Inputs!E$49</f>
        <v>40000</v>
      </c>
      <c r="F9" s="5" t="n">
        <f aca="false">D9/Inputs!$D$4</f>
        <v>384.941104011086</v>
      </c>
    </row>
    <row r="10" customFormat="false" ht="15" hidden="false" customHeight="false" outlineLevel="0" collapsed="false">
      <c r="A10" s="0" t="s">
        <v>338</v>
      </c>
      <c r="B10" s="0" t="s">
        <v>17</v>
      </c>
      <c r="C10" s="5" t="n">
        <f aca="false">Inputs!C$12*Inputs!C$50</f>
        <v>45000</v>
      </c>
      <c r="D10" s="5" t="n">
        <f aca="false">Inputs!D$12*Inputs!D$50</f>
        <v>40000</v>
      </c>
      <c r="E10" s="5" t="n">
        <f aca="false">Inputs!E$12*Inputs!E$50</f>
        <v>35000</v>
      </c>
      <c r="F10" s="5" t="n">
        <f aca="false">D10/Inputs!$D$4</f>
        <v>307.952883208869</v>
      </c>
    </row>
    <row r="11" customFormat="false" ht="15" hidden="false" customHeight="false" outlineLevel="0" collapsed="false">
      <c r="A11" s="0" t="s">
        <v>323</v>
      </c>
      <c r="B11" s="0" t="s">
        <v>17</v>
      </c>
      <c r="C11" s="5" t="n">
        <f aca="false">Inputs!C$12*Inputs!C$51</f>
        <v>10000</v>
      </c>
      <c r="D11" s="5" t="n">
        <f aca="false">Inputs!D$12*Inputs!D$51</f>
        <v>10000</v>
      </c>
      <c r="E11" s="5" t="n">
        <f aca="false">Inputs!E$12*Inputs!E$51</f>
        <v>10000</v>
      </c>
      <c r="F11" s="5" t="n">
        <f aca="false">D11/Inputs!$D$4</f>
        <v>76.9882208022173</v>
      </c>
    </row>
    <row r="12" customFormat="false" ht="15" hidden="false" customHeight="false" outlineLevel="0" collapsed="false">
      <c r="A12" s="0" t="s">
        <v>339</v>
      </c>
      <c r="B12" s="0" t="s">
        <v>17</v>
      </c>
      <c r="C12" s="5" t="n">
        <f aca="false">C7*Inputs!C$52</f>
        <v>8436.96</v>
      </c>
      <c r="D12" s="5" t="n">
        <f aca="false">D7*Inputs!D$52</f>
        <v>9139.2</v>
      </c>
      <c r="E12" s="5" t="n">
        <f aca="false">E7*Inputs!E$52</f>
        <v>10523.52</v>
      </c>
      <c r="F12" s="5" t="n">
        <f aca="false">D12/Inputs!$D$4</f>
        <v>70.3610747555624</v>
      </c>
    </row>
    <row r="13" customFormat="false" ht="15" hidden="false" customHeight="false" outlineLevel="0" collapsed="false">
      <c r="A13" s="6" t="s">
        <v>327</v>
      </c>
      <c r="B13" s="7" t="s">
        <v>17</v>
      </c>
      <c r="C13" s="8" t="n">
        <f aca="false">SUM(C9:C12)</f>
        <v>123436.96</v>
      </c>
      <c r="D13" s="8" t="n">
        <f aca="false">SUM(D9:D12)</f>
        <v>109139.2</v>
      </c>
      <c r="E13" s="8" t="n">
        <f aca="false">SUM(E9:E12)</f>
        <v>95523.52</v>
      </c>
      <c r="F13" s="5" t="n">
        <f aca="false">D13/Inputs!$D$4</f>
        <v>840.243282777735</v>
      </c>
    </row>
    <row r="14" customFormat="false" ht="15" hidden="false" customHeight="false" outlineLevel="0" collapsed="false">
      <c r="A14" s="6" t="s">
        <v>19</v>
      </c>
      <c r="B14" s="7" t="s">
        <v>17</v>
      </c>
      <c r="C14" s="8" t="n">
        <f aca="false">C7-C13</f>
        <v>17179.04</v>
      </c>
      <c r="D14" s="8" t="n">
        <f aca="false">D7-D13</f>
        <v>119340.8</v>
      </c>
      <c r="E14" s="8" t="n">
        <f aca="false">E7-E13</f>
        <v>255260.48</v>
      </c>
      <c r="F14" s="5" t="n">
        <f aca="false">D14/Inputs!$D$4</f>
        <v>918.783586111325</v>
      </c>
    </row>
    <row r="15" customFormat="false" ht="15" hidden="false" customHeight="false" outlineLevel="0" collapsed="false">
      <c r="A15" s="0" t="s">
        <v>329</v>
      </c>
      <c r="B15" s="0" t="s">
        <v>330</v>
      </c>
      <c r="C15" s="5" t="n">
        <f aca="false">C14/Inputs!C$12</f>
        <v>343.5808</v>
      </c>
      <c r="D15" s="5" t="n">
        <f aca="false">D14/Inputs!D$12</f>
        <v>2386.816</v>
      </c>
      <c r="E15" s="5" t="n">
        <f aca="false">E14/Inputs!E$12</f>
        <v>5105.2096</v>
      </c>
      <c r="F15" s="5" t="n">
        <f aca="false">D15/Inputs!$D$4</f>
        <v>18.3756717222265</v>
      </c>
    </row>
    <row r="16" customFormat="false" ht="15" hidden="false" customHeight="false" outlineLevel="0" collapsed="false">
      <c r="A16" s="0" t="s">
        <v>331</v>
      </c>
      <c r="B16" s="0" t="s">
        <v>17</v>
      </c>
      <c r="C16" s="5" t="n">
        <f aca="false">Inputs!C$12*Inputs!C$53</f>
        <v>300000</v>
      </c>
      <c r="D16" s="5" t="n">
        <f aca="false">Inputs!D$12*Inputs!D$53</f>
        <v>300000</v>
      </c>
      <c r="E16" s="5" t="n">
        <f aca="false">Inputs!E$12*Inputs!E$53</f>
        <v>300000</v>
      </c>
      <c r="F16" s="5" t="n">
        <f aca="false">D16/Inputs!$D$4</f>
        <v>2309.64662406652</v>
      </c>
    </row>
    <row r="17" customFormat="false" ht="15" hidden="false" customHeight="false" outlineLevel="0" collapsed="false">
      <c r="A17" s="0" t="s">
        <v>340</v>
      </c>
      <c r="B17" s="0" t="s">
        <v>17</v>
      </c>
      <c r="C17" s="5" t="n">
        <f aca="false">C9</f>
        <v>60000</v>
      </c>
      <c r="D17" s="5" t="n">
        <f aca="false">D9</f>
        <v>50000</v>
      </c>
      <c r="E17" s="5" t="n">
        <f aca="false">E9</f>
        <v>40000</v>
      </c>
      <c r="F17" s="5" t="n">
        <f aca="false">D17/Inputs!$D$4</f>
        <v>384.941104011086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341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customFormat="false" ht="15" hidden="false" customHeight="false" outlineLevel="0" collapsed="false">
      <c r="A3" s="3" t="s">
        <v>315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0" t="s">
        <v>342</v>
      </c>
      <c r="B4" s="0" t="s">
        <v>81</v>
      </c>
      <c r="C4" s="15" t="n">
        <f aca="false">MAX(0,Inputs!C$55*(Inputs!C$56-Inputs!C$57))</f>
        <v>7.84</v>
      </c>
      <c r="D4" s="15" t="n">
        <f aca="false">MAX(0,Inputs!D$55*(Inputs!D$56-Inputs!D$57))</f>
        <v>9.6</v>
      </c>
      <c r="E4" s="15" t="n">
        <f aca="false">MAX(0,Inputs!E$55*(Inputs!E$56-Inputs!E$57))</f>
        <v>11.36</v>
      </c>
    </row>
    <row r="5" customFormat="false" ht="15" hidden="false" customHeight="false" outlineLevel="0" collapsed="false">
      <c r="A5" s="0" t="s">
        <v>335</v>
      </c>
      <c r="B5" s="0" t="s">
        <v>17</v>
      </c>
      <c r="C5" s="5" t="n">
        <f aca="false">Inputs!C$58*Inputs!C$59</f>
        <v>5500</v>
      </c>
      <c r="D5" s="5" t="n">
        <f aca="false">Inputs!D$58*Inputs!D$59</f>
        <v>6500</v>
      </c>
      <c r="E5" s="5" t="n">
        <f aca="false">Inputs!E$58*Inputs!E$59</f>
        <v>7830</v>
      </c>
      <c r="F5" s="5" t="n">
        <f aca="false">D5/Inputs!$D$4</f>
        <v>50.0423435214412</v>
      </c>
    </row>
    <row r="6" customFormat="false" ht="15" hidden="false" customHeight="false" outlineLevel="0" collapsed="false">
      <c r="A6" s="3" t="s">
        <v>16</v>
      </c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6" t="s">
        <v>336</v>
      </c>
      <c r="B7" s="7" t="s">
        <v>17</v>
      </c>
      <c r="C7" s="8" t="n">
        <f aca="false">C4*C5</f>
        <v>43120</v>
      </c>
      <c r="D7" s="8" t="n">
        <f aca="false">D4*D5</f>
        <v>62400</v>
      </c>
      <c r="E7" s="8" t="n">
        <f aca="false">E4*E5</f>
        <v>88948.8</v>
      </c>
      <c r="F7" s="5" t="n">
        <f aca="false">D7/Inputs!$D$4</f>
        <v>480.406497805836</v>
      </c>
    </row>
    <row r="8" customFormat="false" ht="15" hidden="false" customHeight="false" outlineLevel="0" collapsed="false">
      <c r="A8" s="3" t="s">
        <v>18</v>
      </c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A9" s="0" t="s">
        <v>337</v>
      </c>
      <c r="B9" s="0" t="s">
        <v>17</v>
      </c>
      <c r="C9" s="5" t="n">
        <f aca="false">Inputs!C$13*Inputs!C$60</f>
        <v>12000</v>
      </c>
      <c r="D9" s="5" t="n">
        <f aca="false">Inputs!D$13*Inputs!D$60</f>
        <v>10000</v>
      </c>
      <c r="E9" s="5" t="n">
        <f aca="false">Inputs!E$13*Inputs!E$60</f>
        <v>8000</v>
      </c>
      <c r="F9" s="5" t="n">
        <f aca="false">D9/Inputs!$D$4</f>
        <v>76.9882208022173</v>
      </c>
    </row>
    <row r="10" customFormat="false" ht="15" hidden="false" customHeight="false" outlineLevel="0" collapsed="false">
      <c r="A10" s="0" t="s">
        <v>343</v>
      </c>
      <c r="B10" s="0" t="s">
        <v>17</v>
      </c>
      <c r="C10" s="5" t="n">
        <f aca="false">Inputs!C$13*Inputs!C$50</f>
        <v>9000</v>
      </c>
      <c r="D10" s="5" t="n">
        <f aca="false">Inputs!D$13*Inputs!D$50</f>
        <v>8000</v>
      </c>
      <c r="E10" s="5" t="n">
        <f aca="false">Inputs!E$13*Inputs!E$50</f>
        <v>7000</v>
      </c>
      <c r="F10" s="5" t="n">
        <f aca="false">D10/Inputs!$D$4</f>
        <v>61.5905766417738</v>
      </c>
    </row>
    <row r="11" customFormat="false" ht="15" hidden="false" customHeight="false" outlineLevel="0" collapsed="false">
      <c r="A11" s="0" t="s">
        <v>323</v>
      </c>
      <c r="B11" s="0" t="s">
        <v>17</v>
      </c>
      <c r="C11" s="5" t="n">
        <f aca="false">Inputs!C$13*Inputs!C$51</f>
        <v>2000</v>
      </c>
      <c r="D11" s="5" t="n">
        <f aca="false">Inputs!D$13*Inputs!D$51</f>
        <v>2000</v>
      </c>
      <c r="E11" s="5" t="n">
        <f aca="false">Inputs!E$13*Inputs!E$51</f>
        <v>2000</v>
      </c>
      <c r="F11" s="5" t="n">
        <f aca="false">D11/Inputs!$D$4</f>
        <v>15.3976441604435</v>
      </c>
    </row>
    <row r="12" customFormat="false" ht="15" hidden="false" customHeight="false" outlineLevel="0" collapsed="false">
      <c r="A12" s="0" t="s">
        <v>339</v>
      </c>
      <c r="B12" s="0" t="s">
        <v>17</v>
      </c>
      <c r="C12" s="5" t="n">
        <f aca="false">C7*Inputs!C$52</f>
        <v>2587.2</v>
      </c>
      <c r="D12" s="5" t="n">
        <f aca="false">D7*Inputs!D$52</f>
        <v>2496</v>
      </c>
      <c r="E12" s="5" t="n">
        <f aca="false">E7*Inputs!E$52</f>
        <v>2668.464</v>
      </c>
      <c r="F12" s="5" t="n">
        <f aca="false">D12/Inputs!$D$4</f>
        <v>19.2162599122334</v>
      </c>
    </row>
    <row r="13" customFormat="false" ht="15" hidden="false" customHeight="false" outlineLevel="0" collapsed="false">
      <c r="A13" s="6" t="s">
        <v>327</v>
      </c>
      <c r="B13" s="7" t="s">
        <v>17</v>
      </c>
      <c r="C13" s="8" t="n">
        <f aca="false">SUM(C9:C12)</f>
        <v>25587.2</v>
      </c>
      <c r="D13" s="8" t="n">
        <f aca="false">SUM(D9:D12)</f>
        <v>22496</v>
      </c>
      <c r="E13" s="8" t="n">
        <f aca="false">SUM(E9:E12)</f>
        <v>19668.464</v>
      </c>
      <c r="F13" s="5" t="n">
        <f aca="false">D13/Inputs!$D$4</f>
        <v>173.192701516668</v>
      </c>
    </row>
    <row r="14" customFormat="false" ht="15" hidden="false" customHeight="false" outlineLevel="0" collapsed="false">
      <c r="A14" s="6" t="s">
        <v>19</v>
      </c>
      <c r="B14" s="7" t="s">
        <v>17</v>
      </c>
      <c r="C14" s="8" t="n">
        <f aca="false">C7-C13</f>
        <v>17532.8</v>
      </c>
      <c r="D14" s="8" t="n">
        <f aca="false">D7-D13</f>
        <v>39904</v>
      </c>
      <c r="E14" s="8" t="n">
        <f aca="false">E7-E13</f>
        <v>69280.336</v>
      </c>
      <c r="F14" s="5" t="n">
        <f aca="false">D14/Inputs!$D$4</f>
        <v>307.213796289168</v>
      </c>
    </row>
    <row r="15" customFormat="false" ht="15" hidden="false" customHeight="false" outlineLevel="0" collapsed="false">
      <c r="A15" s="0" t="s">
        <v>329</v>
      </c>
      <c r="B15" s="0" t="s">
        <v>330</v>
      </c>
      <c r="C15" s="5" t="n">
        <f aca="false">C14/Inputs!C$13</f>
        <v>1753.28</v>
      </c>
      <c r="D15" s="5" t="n">
        <f aca="false">D14/Inputs!D$13</f>
        <v>3990.4</v>
      </c>
      <c r="E15" s="5" t="n">
        <f aca="false">E14/Inputs!E$13</f>
        <v>6928.0336</v>
      </c>
      <c r="F15" s="5" t="n">
        <f aca="false">D15/Inputs!$D$4</f>
        <v>30.7213796289168</v>
      </c>
    </row>
    <row r="16" customFormat="false" ht="15" hidden="false" customHeight="false" outlineLevel="0" collapsed="false">
      <c r="A16" s="0" t="s">
        <v>331</v>
      </c>
      <c r="B16" s="0" t="s">
        <v>17</v>
      </c>
      <c r="C16" s="5" t="n">
        <f aca="false">Inputs!C$13*Inputs!C$61</f>
        <v>65000</v>
      </c>
      <c r="D16" s="5" t="n">
        <f aca="false">Inputs!D$13*Inputs!D$61</f>
        <v>65000</v>
      </c>
      <c r="E16" s="5" t="n">
        <f aca="false">Inputs!E$13*Inputs!E$61</f>
        <v>65000</v>
      </c>
      <c r="F16" s="5" t="n">
        <f aca="false">D16/Inputs!$D$4</f>
        <v>500.423435214412</v>
      </c>
    </row>
    <row r="17" customFormat="false" ht="15" hidden="false" customHeight="false" outlineLevel="0" collapsed="false">
      <c r="A17" s="0" t="s">
        <v>340</v>
      </c>
      <c r="B17" s="0" t="s">
        <v>17</v>
      </c>
      <c r="C17" s="5" t="n">
        <f aca="false">C9</f>
        <v>12000</v>
      </c>
      <c r="D17" s="5" t="n">
        <f aca="false">D9</f>
        <v>10000</v>
      </c>
      <c r="E17" s="5" t="n">
        <f aca="false">E9</f>
        <v>8000</v>
      </c>
      <c r="F17" s="5" t="n">
        <f aca="false">D17/Inputs!$D$4</f>
        <v>76.9882208022173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344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customFormat="false" ht="15" hidden="false" customHeight="false" outlineLevel="0" collapsed="false">
      <c r="A3" s="3" t="s">
        <v>315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0" t="s">
        <v>345</v>
      </c>
      <c r="B4" s="0" t="s">
        <v>346</v>
      </c>
      <c r="C4" s="5" t="n">
        <f aca="false">Inputs!C$14*Inputs!C$63*Inputs!C$64*(1-Inputs!C$65)*(1-Inputs!C$71/2)</f>
        <v>66422.16</v>
      </c>
      <c r="D4" s="5" t="n">
        <f aca="false">Inputs!D$14*Inputs!D$63*Inputs!D$64*(1-Inputs!D$65)*(1-Inputs!D$71/2)</f>
        <v>72660.88125</v>
      </c>
      <c r="E4" s="5" t="n">
        <f aca="false">Inputs!E$14*Inputs!E$63*Inputs!E$64*(1-Inputs!E$65)*(1-Inputs!E$71/2)</f>
        <v>78308.1</v>
      </c>
    </row>
    <row r="5" customFormat="false" ht="15" hidden="false" customHeight="false" outlineLevel="0" collapsed="false">
      <c r="A5" s="0" t="s">
        <v>347</v>
      </c>
      <c r="B5" s="0" t="s">
        <v>348</v>
      </c>
      <c r="C5" s="5" t="n">
        <f aca="false">C4/30</f>
        <v>2214.072</v>
      </c>
      <c r="D5" s="5" t="n">
        <f aca="false">D4/30</f>
        <v>2422.029375</v>
      </c>
      <c r="E5" s="5" t="n">
        <f aca="false">E4/30</f>
        <v>2610.27</v>
      </c>
    </row>
    <row r="6" customFormat="false" ht="15" hidden="false" customHeight="false" outlineLevel="0" collapsed="false">
      <c r="A6" s="0" t="s">
        <v>349</v>
      </c>
      <c r="B6" s="0" t="s">
        <v>350</v>
      </c>
      <c r="C6" s="16" t="n">
        <f aca="false">12/Inputs!C$69</f>
        <v>0.857142857142857</v>
      </c>
      <c r="D6" s="16" t="n">
        <f aca="false">12/Inputs!D$69</f>
        <v>0.857142857142857</v>
      </c>
      <c r="E6" s="16" t="n">
        <f aca="false">12/Inputs!E$69</f>
        <v>0.857142857142857</v>
      </c>
    </row>
    <row r="7" customFormat="false" ht="15" hidden="false" customHeight="false" outlineLevel="0" collapsed="false">
      <c r="A7" s="3" t="s">
        <v>16</v>
      </c>
      <c r="B7" s="4"/>
      <c r="C7" s="4"/>
      <c r="D7" s="4"/>
      <c r="E7" s="4"/>
      <c r="F7" s="4"/>
      <c r="G7" s="4"/>
    </row>
    <row r="8" customFormat="false" ht="15" hidden="false" customHeight="false" outlineLevel="0" collapsed="false">
      <c r="A8" s="0" t="s">
        <v>351</v>
      </c>
      <c r="B8" s="0" t="s">
        <v>17</v>
      </c>
      <c r="C8" s="5" t="n">
        <f aca="false">C5*Inputs!C$66</f>
        <v>797065.92</v>
      </c>
      <c r="D8" s="5" t="n">
        <f aca="false">D5*Inputs!D$66</f>
        <v>968811.75</v>
      </c>
      <c r="E8" s="5" t="n">
        <f aca="false">E5*Inputs!E$66</f>
        <v>1174621.5</v>
      </c>
      <c r="F8" s="5" t="n">
        <f aca="false">D8/Inputs!$D$4</f>
        <v>7458.70929247825</v>
      </c>
    </row>
    <row r="9" customFormat="false" ht="15" hidden="false" customHeight="false" outlineLevel="0" collapsed="false">
      <c r="A9" s="0" t="s">
        <v>352</v>
      </c>
      <c r="B9" s="0" t="s">
        <v>17</v>
      </c>
      <c r="C9" s="5" t="n">
        <f aca="false">Inputs!C$14*C6*(1-Inputs!C$71)*Inputs!C$72</f>
        <v>74880</v>
      </c>
      <c r="D9" s="5" t="n">
        <f aca="false">Inputs!D$14*D6*(1-Inputs!D$71)*Inputs!D$72</f>
        <v>83700</v>
      </c>
      <c r="E9" s="5" t="n">
        <f aca="false">Inputs!E$14*E6*(1-Inputs!E$71)*Inputs!E$72</f>
        <v>96685.7142857143</v>
      </c>
      <c r="F9" s="5" t="n">
        <f aca="false">D9/Inputs!$D$4</f>
        <v>644.391408114558</v>
      </c>
    </row>
    <row r="10" customFormat="false" ht="15" hidden="false" customHeight="false" outlineLevel="0" collapsed="false">
      <c r="A10" s="6" t="s">
        <v>320</v>
      </c>
      <c r="B10" s="7" t="s">
        <v>17</v>
      </c>
      <c r="C10" s="8" t="n">
        <f aca="false">C8+C9</f>
        <v>871945.92</v>
      </c>
      <c r="D10" s="8" t="n">
        <f aca="false">D8+D9</f>
        <v>1052511.75</v>
      </c>
      <c r="E10" s="8" t="n">
        <f aca="false">E8+E9</f>
        <v>1271307.21428571</v>
      </c>
      <c r="F10" s="5" t="n">
        <f aca="false">D10/Inputs!$D$4</f>
        <v>8103.10070059281</v>
      </c>
    </row>
    <row r="11" customFormat="false" ht="15" hidden="false" customHeight="false" outlineLevel="0" collapsed="false">
      <c r="A11" s="3" t="s">
        <v>18</v>
      </c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0" t="s">
        <v>353</v>
      </c>
      <c r="B12" s="0" t="s">
        <v>17</v>
      </c>
      <c r="C12" s="5" t="n">
        <f aca="false">Inputs!C$14*Inputs!C$67/1000*365*Inputs!C$68/70</f>
        <v>807171.428571429</v>
      </c>
      <c r="D12" s="5" t="n">
        <f aca="false">Inputs!D$14*Inputs!D$67/1000*365*Inputs!D$68/70</f>
        <v>701582.142857143</v>
      </c>
      <c r="E12" s="5" t="n">
        <f aca="false">Inputs!E$14*Inputs!E$67/1000*365*Inputs!E$68/70</f>
        <v>630720</v>
      </c>
      <c r="F12" s="5" t="n">
        <f aca="false">D12/Inputs!$D$4</f>
        <v>5401.35609251785</v>
      </c>
    </row>
    <row r="13" customFormat="false" ht="15" hidden="false" customHeight="false" outlineLevel="0" collapsed="false">
      <c r="A13" s="0" t="s">
        <v>354</v>
      </c>
      <c r="B13" s="0" t="s">
        <v>17</v>
      </c>
      <c r="C13" s="5" t="n">
        <f aca="false">Inputs!C$14*C6*Inputs!C$70</f>
        <v>218571.428571429</v>
      </c>
      <c r="D13" s="5" t="n">
        <f aca="false">Inputs!D$14*D6*Inputs!D$70</f>
        <v>205714.285714286</v>
      </c>
      <c r="E13" s="5" t="n">
        <f aca="false">Inputs!E$14*E6*Inputs!E$70</f>
        <v>192857.142857143</v>
      </c>
      <c r="F13" s="5" t="n">
        <f aca="false">D13/Inputs!$D$4</f>
        <v>1583.75768507418</v>
      </c>
    </row>
    <row r="14" customFormat="false" ht="15" hidden="false" customHeight="false" outlineLevel="0" collapsed="false">
      <c r="A14" s="0" t="s">
        <v>355</v>
      </c>
      <c r="B14" s="0" t="s">
        <v>17</v>
      </c>
      <c r="C14" s="5" t="n">
        <f aca="false">Inputs!C$14*Inputs!C$73</f>
        <v>42000</v>
      </c>
      <c r="D14" s="5" t="n">
        <f aca="false">Inputs!D$14*Inputs!D$73</f>
        <v>36000</v>
      </c>
      <c r="E14" s="5" t="n">
        <f aca="false">Inputs!E$14*Inputs!E$73</f>
        <v>30000</v>
      </c>
      <c r="F14" s="5" t="n">
        <f aca="false">D14/Inputs!$D$4</f>
        <v>277.157594887982</v>
      </c>
    </row>
    <row r="15" customFormat="false" ht="15" hidden="false" customHeight="false" outlineLevel="0" collapsed="false">
      <c r="A15" s="0" t="s">
        <v>356</v>
      </c>
      <c r="B15" s="0" t="s">
        <v>17</v>
      </c>
      <c r="C15" s="5" t="n">
        <f aca="false">C5*Inputs!C$74</f>
        <v>55351.8</v>
      </c>
      <c r="D15" s="5" t="n">
        <f aca="false">D5*Inputs!D$74</f>
        <v>60550.734375</v>
      </c>
      <c r="E15" s="5" t="n">
        <f aca="false">E5*Inputs!E$74</f>
        <v>65256.75</v>
      </c>
      <c r="F15" s="5" t="n">
        <f aca="false">D15/Inputs!$D$4</f>
        <v>466.169330779891</v>
      </c>
    </row>
    <row r="16" customFormat="false" ht="15" hidden="false" customHeight="false" outlineLevel="0" collapsed="false">
      <c r="A16" s="0" t="s">
        <v>192</v>
      </c>
      <c r="B16" s="0" t="s">
        <v>17</v>
      </c>
      <c r="C16" s="5" t="n">
        <f aca="false">C8*Inputs!C$75</f>
        <v>31882.6368</v>
      </c>
      <c r="D16" s="5" t="n">
        <f aca="false">D8*Inputs!D$75</f>
        <v>29064.3525</v>
      </c>
      <c r="E16" s="5" t="n">
        <f aca="false">E8*Inputs!E$75</f>
        <v>23492.43</v>
      </c>
      <c r="F16" s="5" t="n">
        <f aca="false">D16/Inputs!$D$4</f>
        <v>223.761278774348</v>
      </c>
    </row>
    <row r="17" customFormat="false" ht="15" hidden="false" customHeight="false" outlineLevel="0" collapsed="false">
      <c r="A17" s="6" t="s">
        <v>327</v>
      </c>
      <c r="B17" s="7" t="s">
        <v>17</v>
      </c>
      <c r="C17" s="8" t="n">
        <f aca="false">SUM(C12:C16)</f>
        <v>1154977.29394286</v>
      </c>
      <c r="D17" s="8" t="n">
        <f aca="false">SUM(D12:D16)</f>
        <v>1032911.51544643</v>
      </c>
      <c r="E17" s="8" t="n">
        <f aca="false">SUM(E12:E16)</f>
        <v>942326.322857143</v>
      </c>
      <c r="F17" s="5" t="n">
        <f aca="false">D17/Inputs!$D$4</f>
        <v>7952.20198203425</v>
      </c>
    </row>
    <row r="18" customFormat="false" ht="15" hidden="false" customHeight="false" outlineLevel="0" collapsed="false">
      <c r="A18" s="6" t="s">
        <v>19</v>
      </c>
      <c r="B18" s="7" t="s">
        <v>17</v>
      </c>
      <c r="C18" s="8" t="n">
        <f aca="false">C10-C17</f>
        <v>-283031.373942857</v>
      </c>
      <c r="D18" s="8" t="n">
        <f aca="false">D10-D17</f>
        <v>19600.2345535712</v>
      </c>
      <c r="E18" s="8" t="n">
        <f aca="false">E10-E17</f>
        <v>328980.891428571</v>
      </c>
      <c r="F18" s="5" t="n">
        <f aca="false">D18/Inputs!$D$4</f>
        <v>150.898718558559</v>
      </c>
    </row>
    <row r="19" customFormat="false" ht="15" hidden="false" customHeight="false" outlineLevel="0" collapsed="false">
      <c r="A19" s="0" t="s">
        <v>357</v>
      </c>
      <c r="B19" s="0" t="s">
        <v>358</v>
      </c>
      <c r="C19" s="5" t="n">
        <f aca="false">C18/Inputs!C$14</f>
        <v>-943.437913142857</v>
      </c>
      <c r="D19" s="5" t="n">
        <f aca="false">D18/Inputs!D$14</f>
        <v>65.3341151785707</v>
      </c>
      <c r="E19" s="5" t="n">
        <f aca="false">E18/Inputs!E$14</f>
        <v>1096.60297142857</v>
      </c>
      <c r="F19" s="5" t="n">
        <f aca="false">D19/Inputs!$D$4</f>
        <v>0.50299572852853</v>
      </c>
    </row>
    <row r="20" customFormat="false" ht="15" hidden="false" customHeight="false" outlineLevel="0" collapsed="false">
      <c r="A20" s="0" t="s">
        <v>359</v>
      </c>
      <c r="B20" s="0" t="s">
        <v>173</v>
      </c>
      <c r="C20" s="5" t="n">
        <f aca="false">C12/C5</f>
        <v>364.564218585226</v>
      </c>
      <c r="D20" s="5" t="n">
        <f aca="false">D12/D5</f>
        <v>289.667066014483</v>
      </c>
      <c r="E20" s="5" t="n">
        <f aca="false">E12/E5</f>
        <v>241.63017618867</v>
      </c>
      <c r="F20" s="5" t="n">
        <f aca="false">D20/Inputs!$D$4</f>
        <v>2.23009520374535</v>
      </c>
    </row>
    <row r="21" customFormat="false" ht="15" hidden="false" customHeight="false" outlineLevel="0" collapsed="false">
      <c r="A21" s="0" t="s">
        <v>331</v>
      </c>
      <c r="B21" s="0" t="s">
        <v>17</v>
      </c>
      <c r="C21" s="5" t="n">
        <f aca="false">Inputs!C$14*Inputs!C$76</f>
        <v>240000</v>
      </c>
      <c r="D21" s="5" t="n">
        <f aca="false">Inputs!D$14*Inputs!D$76</f>
        <v>240000</v>
      </c>
      <c r="E21" s="5" t="n">
        <f aca="false">Inputs!E$14*Inputs!E$76</f>
        <v>240000</v>
      </c>
      <c r="F21" s="5" t="n">
        <f aca="false">D21/Inputs!$D$4</f>
        <v>1847.71729925321</v>
      </c>
    </row>
    <row r="22" customFormat="false" ht="15" hidden="false" customHeight="false" outlineLevel="0" collapsed="false">
      <c r="A22" s="0" t="s">
        <v>340</v>
      </c>
      <c r="B22" s="0" t="s">
        <v>17</v>
      </c>
      <c r="C22" s="5" t="n">
        <f aca="false">C12</f>
        <v>807171.428571429</v>
      </c>
      <c r="D22" s="5" t="n">
        <f aca="false">D12</f>
        <v>701582.142857143</v>
      </c>
      <c r="E22" s="5" t="n">
        <f aca="false">E12</f>
        <v>630720</v>
      </c>
      <c r="F22" s="5" t="n">
        <f aca="false">D22/Inputs!$D$4</f>
        <v>5401.35609251785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360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customFormat="false" ht="15" hidden="false" customHeight="false" outlineLevel="0" collapsed="false">
      <c r="A3" s="3" t="s">
        <v>198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0" t="s">
        <v>361</v>
      </c>
      <c r="B4" s="0" t="s">
        <v>86</v>
      </c>
      <c r="C4" s="5" t="n">
        <f aca="false">Inputs!C$15*Inputs!C$80</f>
        <v>800</v>
      </c>
      <c r="D4" s="5" t="n">
        <f aca="false">Inputs!D$15*Inputs!D$80</f>
        <v>800</v>
      </c>
      <c r="E4" s="5" t="n">
        <f aca="false">Inputs!E$15*Inputs!E$80</f>
        <v>800</v>
      </c>
    </row>
    <row r="5" customFormat="false" ht="15" hidden="false" customHeight="false" outlineLevel="0" collapsed="false">
      <c r="A5" s="0" t="s">
        <v>362</v>
      </c>
      <c r="B5" s="0" t="s">
        <v>86</v>
      </c>
      <c r="C5" s="15" t="n">
        <f aca="false">C4*(1-Inputs!C$81)</f>
        <v>672</v>
      </c>
      <c r="D5" s="15" t="n">
        <f aca="false">D4*(1-Inputs!D$81)</f>
        <v>704</v>
      </c>
      <c r="E5" s="15" t="n">
        <f aca="false">E4*(1-Inputs!E$81)</f>
        <v>728</v>
      </c>
    </row>
    <row r="6" customFormat="false" ht="15" hidden="false" customHeight="false" outlineLevel="0" collapsed="false">
      <c r="A6" s="0" t="s">
        <v>16</v>
      </c>
      <c r="B6" s="0" t="s">
        <v>17</v>
      </c>
      <c r="C6" s="5" t="n">
        <f aca="false">C5*Inputs!C$82</f>
        <v>436800</v>
      </c>
      <c r="D6" s="5" t="n">
        <f aca="false">D5*Inputs!D$82</f>
        <v>528000</v>
      </c>
      <c r="E6" s="5" t="n">
        <f aca="false">E5*Inputs!E$82</f>
        <v>618800</v>
      </c>
      <c r="F6" s="5" t="n">
        <f aca="false">D6/Inputs!$D$4</f>
        <v>4064.97805835707</v>
      </c>
    </row>
    <row r="7" customFormat="false" ht="15" hidden="false" customHeight="false" outlineLevel="0" collapsed="false">
      <c r="A7" s="0" t="s">
        <v>363</v>
      </c>
      <c r="B7" s="0" t="s">
        <v>17</v>
      </c>
      <c r="C7" s="5" t="n">
        <f aca="false">C4*Inputs!C$83</f>
        <v>152000</v>
      </c>
      <c r="D7" s="5" t="n">
        <f aca="false">D4*Inputs!D$83</f>
        <v>136000</v>
      </c>
      <c r="E7" s="5" t="n">
        <f aca="false">E4*Inputs!E$83</f>
        <v>124000</v>
      </c>
      <c r="F7" s="5" t="n">
        <f aca="false">D7/Inputs!$D$4</f>
        <v>1047.03980291015</v>
      </c>
    </row>
    <row r="8" customFormat="false" ht="15" hidden="false" customHeight="false" outlineLevel="0" collapsed="false">
      <c r="A8" s="0" t="s">
        <v>364</v>
      </c>
      <c r="B8" s="0" t="s">
        <v>17</v>
      </c>
      <c r="C8" s="5" t="n">
        <f aca="false">C4*Inputs!C$84*Inputs!C$78/70</f>
        <v>282857.142857143</v>
      </c>
      <c r="D8" s="5" t="n">
        <f aca="false">D4*Inputs!D$84*Inputs!D$78/70</f>
        <v>240000</v>
      </c>
      <c r="E8" s="5" t="n">
        <f aca="false">E4*Inputs!E$84*Inputs!E$78/70</f>
        <v>200571.428571429</v>
      </c>
      <c r="F8" s="5" t="n">
        <f aca="false">D8/Inputs!$D$4</f>
        <v>1847.71729925321</v>
      </c>
    </row>
    <row r="9" customFormat="false" ht="15" hidden="false" customHeight="false" outlineLevel="0" collapsed="false">
      <c r="A9" s="0" t="s">
        <v>365</v>
      </c>
      <c r="B9" s="0" t="s">
        <v>17</v>
      </c>
      <c r="C9" s="5" t="n">
        <f aca="false">C4*Inputs!C$85</f>
        <v>48000</v>
      </c>
      <c r="D9" s="5" t="n">
        <f aca="false">D4*Inputs!D$85</f>
        <v>32000</v>
      </c>
      <c r="E9" s="5" t="n">
        <f aca="false">E4*Inputs!E$85</f>
        <v>24000</v>
      </c>
      <c r="F9" s="5" t="n">
        <f aca="false">D9/Inputs!$D$4</f>
        <v>246.362306567095</v>
      </c>
    </row>
    <row r="10" customFormat="false" ht="15" hidden="false" customHeight="false" outlineLevel="0" collapsed="false">
      <c r="A10" s="0" t="s">
        <v>339</v>
      </c>
      <c r="B10" s="0" t="s">
        <v>17</v>
      </c>
      <c r="C10" s="5" t="n">
        <f aca="false">C6*Inputs!C$111</f>
        <v>21840</v>
      </c>
      <c r="D10" s="5" t="n">
        <f aca="false">D6*Inputs!D$111</f>
        <v>21120</v>
      </c>
      <c r="E10" s="5" t="n">
        <f aca="false">E6*Inputs!E$111</f>
        <v>18564</v>
      </c>
      <c r="F10" s="5" t="n">
        <f aca="false">D10/Inputs!$D$4</f>
        <v>162.599122334283</v>
      </c>
    </row>
    <row r="11" customFormat="false" ht="15" hidden="false" customHeight="false" outlineLevel="0" collapsed="false">
      <c r="A11" s="6" t="s">
        <v>19</v>
      </c>
      <c r="B11" s="7" t="s">
        <v>17</v>
      </c>
      <c r="C11" s="8" t="n">
        <f aca="false">C6-C7-C8-C9-C10</f>
        <v>-67897.1428571428</v>
      </c>
      <c r="D11" s="8" t="n">
        <f aca="false">D6-D7-D8-D9-D10</f>
        <v>98880</v>
      </c>
      <c r="E11" s="8" t="n">
        <f aca="false">E6-E7-E8-E9-E10</f>
        <v>251664.571428571</v>
      </c>
      <c r="F11" s="5" t="n">
        <f aca="false">D11/Inputs!$D$4</f>
        <v>761.259527292324</v>
      </c>
    </row>
    <row r="12" customFormat="false" ht="15" hidden="false" customHeight="false" outlineLevel="0" collapsed="false">
      <c r="A12" s="0" t="s">
        <v>366</v>
      </c>
      <c r="B12" s="0" t="s">
        <v>188</v>
      </c>
      <c r="C12" s="5" t="n">
        <f aca="false">C11/Inputs!C$15</f>
        <v>-169.742857142857</v>
      </c>
      <c r="D12" s="5" t="n">
        <f aca="false">D11/Inputs!D$15</f>
        <v>247.2</v>
      </c>
      <c r="E12" s="5" t="n">
        <f aca="false">E11/Inputs!E$15</f>
        <v>629.161428571429</v>
      </c>
      <c r="F12" s="5" t="n">
        <f aca="false">D12/Inputs!$D$4</f>
        <v>1.90314881823081</v>
      </c>
    </row>
    <row r="13" customFormat="false" ht="15" hidden="false" customHeight="false" outlineLevel="0" collapsed="false">
      <c r="A13" s="3" t="s">
        <v>90</v>
      </c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0" t="s">
        <v>361</v>
      </c>
      <c r="B14" s="0" t="s">
        <v>86</v>
      </c>
      <c r="C14" s="5" t="n">
        <f aca="false">Inputs!C$16*Inputs!C$88</f>
        <v>240</v>
      </c>
      <c r="D14" s="5" t="n">
        <f aca="false">Inputs!D$16*Inputs!D$88</f>
        <v>240</v>
      </c>
      <c r="E14" s="5" t="n">
        <f aca="false">Inputs!E$16*Inputs!E$88</f>
        <v>240</v>
      </c>
    </row>
    <row r="15" customFormat="false" ht="15" hidden="false" customHeight="false" outlineLevel="0" collapsed="false">
      <c r="A15" s="0" t="s">
        <v>362</v>
      </c>
      <c r="B15" s="0" t="s">
        <v>86</v>
      </c>
      <c r="C15" s="15" t="n">
        <f aca="false">C14*(1-Inputs!C$89)</f>
        <v>201.6</v>
      </c>
      <c r="D15" s="15" t="n">
        <f aca="false">D14*(1-Inputs!D$89)</f>
        <v>211.2</v>
      </c>
      <c r="E15" s="15" t="n">
        <f aca="false">E14*(1-Inputs!E$89)</f>
        <v>218.4</v>
      </c>
    </row>
    <row r="16" customFormat="false" ht="15" hidden="false" customHeight="false" outlineLevel="0" collapsed="false">
      <c r="A16" s="0" t="s">
        <v>16</v>
      </c>
      <c r="B16" s="0" t="s">
        <v>17</v>
      </c>
      <c r="C16" s="5" t="n">
        <f aca="false">C15*Inputs!C$90</f>
        <v>151200</v>
      </c>
      <c r="D16" s="5" t="n">
        <f aca="false">D15*Inputs!D$90</f>
        <v>190080</v>
      </c>
      <c r="E16" s="5" t="n">
        <f aca="false">E15*Inputs!E$90</f>
        <v>229320</v>
      </c>
      <c r="F16" s="5" t="n">
        <f aca="false">D16/Inputs!$D$4</f>
        <v>1463.39210100855</v>
      </c>
    </row>
    <row r="17" customFormat="false" ht="15" hidden="false" customHeight="false" outlineLevel="0" collapsed="false">
      <c r="A17" s="0" t="s">
        <v>363</v>
      </c>
      <c r="B17" s="0" t="s">
        <v>17</v>
      </c>
      <c r="C17" s="5" t="n">
        <f aca="false">C14*Inputs!C$91</f>
        <v>57600</v>
      </c>
      <c r="D17" s="5" t="n">
        <f aca="false">D14*Inputs!D$91</f>
        <v>52800</v>
      </c>
      <c r="E17" s="5" t="n">
        <f aca="false">E14*Inputs!E$91</f>
        <v>49200</v>
      </c>
      <c r="F17" s="5" t="n">
        <f aca="false">D17/Inputs!$D$4</f>
        <v>406.497805835707</v>
      </c>
    </row>
    <row r="18" customFormat="false" ht="15" hidden="false" customHeight="false" outlineLevel="0" collapsed="false">
      <c r="A18" s="0" t="s">
        <v>364</v>
      </c>
      <c r="B18" s="0" t="s">
        <v>17</v>
      </c>
      <c r="C18" s="5" t="n">
        <f aca="false">C14*Inputs!C$92*Inputs!C$78/70</f>
        <v>100285.714285714</v>
      </c>
      <c r="D18" s="5" t="n">
        <f aca="false">D14*Inputs!D$92*Inputs!D$78/70</f>
        <v>86400</v>
      </c>
      <c r="E18" s="5" t="n">
        <f aca="false">E14*Inputs!E$92*Inputs!E$78/70</f>
        <v>73542.8571428571</v>
      </c>
      <c r="F18" s="5" t="n">
        <f aca="false">D18/Inputs!$D$4</f>
        <v>665.178227731157</v>
      </c>
    </row>
    <row r="19" customFormat="false" ht="15" hidden="false" customHeight="false" outlineLevel="0" collapsed="false">
      <c r="A19" s="0" t="s">
        <v>365</v>
      </c>
      <c r="B19" s="0" t="s">
        <v>17</v>
      </c>
      <c r="C19" s="5" t="n">
        <f aca="false">C14*Inputs!C$93</f>
        <v>14400</v>
      </c>
      <c r="D19" s="5" t="n">
        <f aca="false">D14*Inputs!D$93</f>
        <v>9600</v>
      </c>
      <c r="E19" s="5" t="n">
        <f aca="false">E14*Inputs!E$93</f>
        <v>7200</v>
      </c>
      <c r="F19" s="5" t="n">
        <f aca="false">D19/Inputs!$D$4</f>
        <v>73.9086919701286</v>
      </c>
    </row>
    <row r="20" customFormat="false" ht="15" hidden="false" customHeight="false" outlineLevel="0" collapsed="false">
      <c r="A20" s="0" t="s">
        <v>339</v>
      </c>
      <c r="B20" s="0" t="s">
        <v>17</v>
      </c>
      <c r="C20" s="5" t="n">
        <f aca="false">C16*Inputs!C$111</f>
        <v>7560</v>
      </c>
      <c r="D20" s="5" t="n">
        <f aca="false">D16*Inputs!D$111</f>
        <v>7603.2</v>
      </c>
      <c r="E20" s="5" t="n">
        <f aca="false">E16*Inputs!E$111</f>
        <v>6879.6</v>
      </c>
      <c r="F20" s="5" t="n">
        <f aca="false">D20/Inputs!$D$4</f>
        <v>58.5356840403418</v>
      </c>
    </row>
    <row r="21" customFormat="false" ht="15" hidden="false" customHeight="false" outlineLevel="0" collapsed="false">
      <c r="A21" s="6" t="s">
        <v>19</v>
      </c>
      <c r="B21" s="7" t="s">
        <v>17</v>
      </c>
      <c r="C21" s="8" t="n">
        <f aca="false">C16-C17-C18-C19-C20</f>
        <v>-28645.7142857143</v>
      </c>
      <c r="D21" s="8" t="n">
        <f aca="false">D16-D17-D18-D19-D20</f>
        <v>33676.8</v>
      </c>
      <c r="E21" s="8" t="n">
        <f aca="false">E16-E17-E18-E19-E20</f>
        <v>92497.5428571429</v>
      </c>
      <c r="F21" s="5" t="n">
        <f aca="false">D21/Inputs!$D$4</f>
        <v>259.271691431211</v>
      </c>
    </row>
    <row r="22" customFormat="false" ht="15" hidden="false" customHeight="false" outlineLevel="0" collapsed="false">
      <c r="A22" s="0" t="s">
        <v>366</v>
      </c>
      <c r="B22" s="0" t="s">
        <v>188</v>
      </c>
      <c r="C22" s="5" t="n">
        <f aca="false">C21/Inputs!C$16</f>
        <v>-238.714285714286</v>
      </c>
      <c r="D22" s="5" t="n">
        <f aca="false">D21/Inputs!D$16</f>
        <v>280.64</v>
      </c>
      <c r="E22" s="5" t="n">
        <f aca="false">E21/Inputs!E$16</f>
        <v>770.812857142857</v>
      </c>
      <c r="F22" s="5" t="n">
        <f aca="false">D22/Inputs!$D$4</f>
        <v>2.16059742859343</v>
      </c>
    </row>
    <row r="23" customFormat="false" ht="15" hidden="false" customHeight="false" outlineLevel="0" collapsed="false">
      <c r="A23" s="3" t="s">
        <v>91</v>
      </c>
      <c r="B23" s="4"/>
      <c r="C23" s="4"/>
      <c r="D23" s="4"/>
      <c r="E23" s="4"/>
      <c r="F23" s="4"/>
      <c r="G23" s="4"/>
    </row>
    <row r="24" customFormat="false" ht="15" hidden="false" customHeight="false" outlineLevel="0" collapsed="false">
      <c r="A24" s="0" t="s">
        <v>361</v>
      </c>
      <c r="B24" s="0" t="s">
        <v>86</v>
      </c>
      <c r="C24" s="5" t="n">
        <f aca="false">Inputs!C$17*Inputs!C$96</f>
        <v>180</v>
      </c>
      <c r="D24" s="5" t="n">
        <f aca="false">Inputs!D$17*Inputs!D$96</f>
        <v>180</v>
      </c>
      <c r="E24" s="5" t="n">
        <f aca="false">Inputs!E$17*Inputs!E$96</f>
        <v>180</v>
      </c>
    </row>
    <row r="25" customFormat="false" ht="15" hidden="false" customHeight="false" outlineLevel="0" collapsed="false">
      <c r="A25" s="0" t="s">
        <v>362</v>
      </c>
      <c r="B25" s="0" t="s">
        <v>86</v>
      </c>
      <c r="C25" s="15" t="n">
        <f aca="false">C24*(1-Inputs!C$97)</f>
        <v>133.2</v>
      </c>
      <c r="D25" s="15" t="n">
        <f aca="false">D24*(1-Inputs!D$97)</f>
        <v>144</v>
      </c>
      <c r="E25" s="15" t="n">
        <f aca="false">E24*(1-Inputs!E$97)</f>
        <v>153</v>
      </c>
    </row>
    <row r="26" customFormat="false" ht="15" hidden="false" customHeight="false" outlineLevel="0" collapsed="false">
      <c r="A26" s="0" t="s">
        <v>16</v>
      </c>
      <c r="B26" s="0" t="s">
        <v>17</v>
      </c>
      <c r="C26" s="5" t="n">
        <f aca="false">C25*Inputs!C$98</f>
        <v>93240</v>
      </c>
      <c r="D26" s="5" t="n">
        <f aca="false">D25*Inputs!D$98</f>
        <v>122400</v>
      </c>
      <c r="E26" s="5" t="n">
        <f aca="false">E25*Inputs!E$98</f>
        <v>153000</v>
      </c>
      <c r="F26" s="5" t="n">
        <f aca="false">D26/Inputs!$D$4</f>
        <v>942.335822619139</v>
      </c>
    </row>
    <row r="27" customFormat="false" ht="15" hidden="false" customHeight="false" outlineLevel="0" collapsed="false">
      <c r="A27" s="0" t="s">
        <v>363</v>
      </c>
      <c r="B27" s="0" t="s">
        <v>17</v>
      </c>
      <c r="C27" s="5" t="n">
        <f aca="false">C24*Inputs!C$99</f>
        <v>50400</v>
      </c>
      <c r="D27" s="5" t="n">
        <f aca="false">D24*Inputs!D$99</f>
        <v>45000</v>
      </c>
      <c r="E27" s="5" t="n">
        <f aca="false">E24*Inputs!E$99</f>
        <v>41400</v>
      </c>
      <c r="F27" s="5" t="n">
        <f aca="false">D27/Inputs!$D$4</f>
        <v>346.446993609978</v>
      </c>
    </row>
    <row r="28" customFormat="false" ht="15" hidden="false" customHeight="false" outlineLevel="0" collapsed="false">
      <c r="A28" s="0" t="s">
        <v>364</v>
      </c>
      <c r="B28" s="0" t="s">
        <v>17</v>
      </c>
      <c r="C28" s="5" t="n">
        <f aca="false">C24*Inputs!C$100*Inputs!C$78/70</f>
        <v>43392.8571428571</v>
      </c>
      <c r="D28" s="5" t="n">
        <f aca="false">D24*Inputs!D$100*Inputs!D$78/70</f>
        <v>37800</v>
      </c>
      <c r="E28" s="5" t="n">
        <f aca="false">E24*Inputs!E$100*Inputs!E$78/70</f>
        <v>32592.8571428571</v>
      </c>
      <c r="F28" s="5" t="n">
        <f aca="false">D28/Inputs!$D$4</f>
        <v>291.015474632381</v>
      </c>
    </row>
    <row r="29" customFormat="false" ht="15" hidden="false" customHeight="false" outlineLevel="0" collapsed="false">
      <c r="A29" s="0" t="s">
        <v>365</v>
      </c>
      <c r="B29" s="0" t="s">
        <v>17</v>
      </c>
      <c r="C29" s="5" t="n">
        <f aca="false">C24*Inputs!C$101</f>
        <v>10800</v>
      </c>
      <c r="D29" s="5" t="n">
        <f aca="false">D24*Inputs!D$101</f>
        <v>7200</v>
      </c>
      <c r="E29" s="5" t="n">
        <f aca="false">E24*Inputs!E$101</f>
        <v>5400</v>
      </c>
      <c r="F29" s="5" t="n">
        <f aca="false">D29/Inputs!$D$4</f>
        <v>55.4315189775964</v>
      </c>
    </row>
    <row r="30" customFormat="false" ht="15" hidden="false" customHeight="false" outlineLevel="0" collapsed="false">
      <c r="A30" s="0" t="s">
        <v>339</v>
      </c>
      <c r="B30" s="0" t="s">
        <v>17</v>
      </c>
      <c r="C30" s="5" t="n">
        <f aca="false">C26*Inputs!C$111</f>
        <v>4662</v>
      </c>
      <c r="D30" s="5" t="n">
        <f aca="false">D26*Inputs!D$111</f>
        <v>4896</v>
      </c>
      <c r="E30" s="5" t="n">
        <f aca="false">E26*Inputs!E$111</f>
        <v>4590</v>
      </c>
      <c r="F30" s="5" t="n">
        <f aca="false">D30/Inputs!$D$4</f>
        <v>37.6934329047656</v>
      </c>
    </row>
    <row r="31" customFormat="false" ht="15" hidden="false" customHeight="false" outlineLevel="0" collapsed="false">
      <c r="A31" s="6" t="s">
        <v>19</v>
      </c>
      <c r="B31" s="7" t="s">
        <v>17</v>
      </c>
      <c r="C31" s="8" t="n">
        <f aca="false">C26-C27-C28-C29-C30</f>
        <v>-16014.8571428572</v>
      </c>
      <c r="D31" s="8" t="n">
        <f aca="false">D26-D27-D28-D29-D30</f>
        <v>27504</v>
      </c>
      <c r="E31" s="8" t="n">
        <f aca="false">E26-E27-E28-E29-E30</f>
        <v>69017.1428571429</v>
      </c>
      <c r="F31" s="5" t="n">
        <f aca="false">D31/Inputs!$D$4</f>
        <v>211.748402494418</v>
      </c>
    </row>
    <row r="32" customFormat="false" ht="15" hidden="false" customHeight="false" outlineLevel="0" collapsed="false">
      <c r="A32" s="0" t="s">
        <v>366</v>
      </c>
      <c r="B32" s="0" t="s">
        <v>188</v>
      </c>
      <c r="C32" s="5" t="n">
        <f aca="false">C31/Inputs!C$17</f>
        <v>-133.457142857143</v>
      </c>
      <c r="D32" s="5" t="n">
        <f aca="false">D31/Inputs!D$17</f>
        <v>229.2</v>
      </c>
      <c r="E32" s="5" t="n">
        <f aca="false">E31/Inputs!E$17</f>
        <v>575.142857142857</v>
      </c>
      <c r="F32" s="5" t="n">
        <f aca="false">D32/Inputs!$D$4</f>
        <v>1.76457002078682</v>
      </c>
    </row>
    <row r="33" customFormat="false" ht="15" hidden="false" customHeight="false" outlineLevel="0" collapsed="false">
      <c r="A33" s="3" t="s">
        <v>92</v>
      </c>
      <c r="B33" s="4"/>
      <c r="C33" s="4"/>
      <c r="D33" s="4"/>
      <c r="E33" s="4"/>
      <c r="F33" s="4"/>
      <c r="G33" s="4"/>
    </row>
    <row r="34" customFormat="false" ht="15" hidden="false" customHeight="false" outlineLevel="0" collapsed="false">
      <c r="A34" s="0" t="s">
        <v>361</v>
      </c>
      <c r="B34" s="0" t="s">
        <v>86</v>
      </c>
      <c r="C34" s="5" t="n">
        <f aca="false">Inputs!C$18*Inputs!C$104</f>
        <v>60</v>
      </c>
      <c r="D34" s="5" t="n">
        <f aca="false">Inputs!D$18*Inputs!D$104</f>
        <v>60</v>
      </c>
      <c r="E34" s="5" t="n">
        <f aca="false">Inputs!E$18*Inputs!E$104</f>
        <v>60</v>
      </c>
    </row>
    <row r="35" customFormat="false" ht="15" hidden="false" customHeight="false" outlineLevel="0" collapsed="false">
      <c r="A35" s="0" t="s">
        <v>362</v>
      </c>
      <c r="B35" s="0" t="s">
        <v>86</v>
      </c>
      <c r="C35" s="15" t="n">
        <f aca="false">C34*(1-Inputs!C$105)</f>
        <v>49.2</v>
      </c>
      <c r="D35" s="15" t="n">
        <f aca="false">D34*(1-Inputs!D$105)</f>
        <v>52.8</v>
      </c>
      <c r="E35" s="15" t="n">
        <f aca="false">E34*(1-Inputs!E$105)</f>
        <v>54.6</v>
      </c>
    </row>
    <row r="36" customFormat="false" ht="15" hidden="false" customHeight="false" outlineLevel="0" collapsed="false">
      <c r="A36" s="0" t="s">
        <v>16</v>
      </c>
      <c r="B36" s="0" t="s">
        <v>17</v>
      </c>
      <c r="C36" s="5" t="n">
        <f aca="false">C35*Inputs!C$106</f>
        <v>113160</v>
      </c>
      <c r="D36" s="5" t="n">
        <f aca="false">D35*Inputs!D$106</f>
        <v>147840</v>
      </c>
      <c r="E36" s="5" t="n">
        <f aca="false">E35*Inputs!E$106</f>
        <v>180180</v>
      </c>
      <c r="F36" s="5" t="n">
        <f aca="false">D36/Inputs!$D$4</f>
        <v>1138.19385633998</v>
      </c>
    </row>
    <row r="37" customFormat="false" ht="15" hidden="false" customHeight="false" outlineLevel="0" collapsed="false">
      <c r="A37" s="0" t="s">
        <v>363</v>
      </c>
      <c r="B37" s="0" t="s">
        <v>17</v>
      </c>
      <c r="C37" s="5" t="n">
        <f aca="false">C34*Inputs!C$107</f>
        <v>39000</v>
      </c>
      <c r="D37" s="5" t="n">
        <f aca="false">D34*Inputs!D$107</f>
        <v>36000</v>
      </c>
      <c r="E37" s="5" t="n">
        <f aca="false">E34*Inputs!E$107</f>
        <v>33000</v>
      </c>
      <c r="F37" s="5" t="n">
        <f aca="false">D37/Inputs!$D$4</f>
        <v>277.157594887982</v>
      </c>
    </row>
    <row r="38" customFormat="false" ht="15" hidden="false" customHeight="false" outlineLevel="0" collapsed="false">
      <c r="A38" s="0" t="s">
        <v>364</v>
      </c>
      <c r="B38" s="0" t="s">
        <v>17</v>
      </c>
      <c r="C38" s="5" t="n">
        <f aca="false">C34*Inputs!C$108*Inputs!C$78/70</f>
        <v>27000</v>
      </c>
      <c r="D38" s="5" t="n">
        <f aca="false">D34*Inputs!D$108*Inputs!D$78/70</f>
        <v>21600</v>
      </c>
      <c r="E38" s="5" t="n">
        <f aca="false">E34*Inputs!E$108*Inputs!E$78/70</f>
        <v>18385.7142857143</v>
      </c>
      <c r="F38" s="5" t="n">
        <f aca="false">D38/Inputs!$D$4</f>
        <v>166.294556932789</v>
      </c>
    </row>
    <row r="39" customFormat="false" ht="15" hidden="false" customHeight="false" outlineLevel="0" collapsed="false">
      <c r="A39" s="0" t="s">
        <v>365</v>
      </c>
      <c r="B39" s="0" t="s">
        <v>17</v>
      </c>
      <c r="C39" s="5" t="n">
        <f aca="false">C34*Inputs!C$109</f>
        <v>4800</v>
      </c>
      <c r="D39" s="5" t="n">
        <f aca="false">D34*Inputs!D$109</f>
        <v>3600</v>
      </c>
      <c r="E39" s="5" t="n">
        <f aca="false">E34*Inputs!E$109</f>
        <v>2400</v>
      </c>
      <c r="F39" s="5" t="n">
        <f aca="false">D39/Inputs!$D$4</f>
        <v>27.7157594887982</v>
      </c>
    </row>
    <row r="40" customFormat="false" ht="15" hidden="false" customHeight="false" outlineLevel="0" collapsed="false">
      <c r="A40" s="0" t="s">
        <v>339</v>
      </c>
      <c r="B40" s="0" t="s">
        <v>17</v>
      </c>
      <c r="C40" s="5" t="n">
        <f aca="false">C36*Inputs!C$111</f>
        <v>5658</v>
      </c>
      <c r="D40" s="5" t="n">
        <f aca="false">D36*Inputs!D$111</f>
        <v>5913.6</v>
      </c>
      <c r="E40" s="5" t="n">
        <f aca="false">E36*Inputs!E$111</f>
        <v>5405.4</v>
      </c>
      <c r="F40" s="5" t="n">
        <f aca="false">D40/Inputs!$D$4</f>
        <v>45.5277542535992</v>
      </c>
    </row>
    <row r="41" customFormat="false" ht="15" hidden="false" customHeight="false" outlineLevel="0" collapsed="false">
      <c r="A41" s="6" t="s">
        <v>19</v>
      </c>
      <c r="B41" s="7" t="s">
        <v>17</v>
      </c>
      <c r="C41" s="8" t="n">
        <f aca="false">C36-C37-C38-C39-C40</f>
        <v>36702</v>
      </c>
      <c r="D41" s="8" t="n">
        <f aca="false">D36-D37-D38-D39-D40</f>
        <v>80726.4</v>
      </c>
      <c r="E41" s="8" t="n">
        <f aca="false">E36-E37-E38-E39-E40</f>
        <v>120988.885714286</v>
      </c>
      <c r="F41" s="5" t="n">
        <f aca="false">D41/Inputs!$D$4</f>
        <v>621.498190776811</v>
      </c>
    </row>
    <row r="42" customFormat="false" ht="15" hidden="false" customHeight="false" outlineLevel="0" collapsed="false">
      <c r="A42" s="0" t="s">
        <v>366</v>
      </c>
      <c r="B42" s="0" t="s">
        <v>188</v>
      </c>
      <c r="C42" s="5" t="n">
        <f aca="false">C41/Inputs!C$18</f>
        <v>611.7</v>
      </c>
      <c r="D42" s="5" t="n">
        <f aca="false">D41/Inputs!D$18</f>
        <v>1345.44</v>
      </c>
      <c r="E42" s="5" t="n">
        <f aca="false">E41/Inputs!E$18</f>
        <v>2016.48142857143</v>
      </c>
      <c r="F42" s="5" t="n">
        <f aca="false">D42/Inputs!$D$4</f>
        <v>10.3583031796135</v>
      </c>
    </row>
    <row r="43" customFormat="false" ht="15" hidden="false" customHeight="false" outlineLevel="0" collapsed="false">
      <c r="A43" s="3" t="s">
        <v>367</v>
      </c>
      <c r="B43" s="4"/>
      <c r="C43" s="4"/>
      <c r="D43" s="4"/>
      <c r="E43" s="4"/>
      <c r="F43" s="4"/>
      <c r="G43" s="4"/>
    </row>
    <row r="44" customFormat="false" ht="15" hidden="false" customHeight="false" outlineLevel="0" collapsed="false">
      <c r="A44" s="6" t="s">
        <v>320</v>
      </c>
      <c r="B44" s="7" t="s">
        <v>17</v>
      </c>
      <c r="C44" s="8" t="n">
        <f aca="false">C6+C16+C26+C36</f>
        <v>794400</v>
      </c>
      <c r="D44" s="8" t="n">
        <f aca="false">D6+D16+D26+D36</f>
        <v>988320</v>
      </c>
      <c r="E44" s="8" t="n">
        <f aca="false">E6+E16+E26+E36</f>
        <v>1181300</v>
      </c>
      <c r="F44" s="5" t="n">
        <f aca="false">D44/Inputs!$D$4</f>
        <v>7608.89983832474</v>
      </c>
    </row>
    <row r="45" customFormat="false" ht="15" hidden="false" customHeight="false" outlineLevel="0" collapsed="false">
      <c r="A45" s="6" t="s">
        <v>327</v>
      </c>
      <c r="B45" s="7" t="s">
        <v>17</v>
      </c>
      <c r="C45" s="8" t="n">
        <f aca="false">C7+C8+C9+C10+C17+C18+C19+C20+C27+C28+C29+C30+C37+C38+C39+C40</f>
        <v>870255.714285714</v>
      </c>
      <c r="D45" s="8" t="n">
        <f aca="false">D7+D8+D9+D10+D17+D18+D19+D20+D27+D28+D29+D30+D37+D38+D39+D40</f>
        <v>747532.8</v>
      </c>
      <c r="E45" s="8" t="n">
        <f aca="false">E7+E8+E9+E10+E17+E18+E19+E20+E27+E28+E29+E30+E37+E38+E39+E40</f>
        <v>647131.857142857</v>
      </c>
      <c r="F45" s="5" t="n">
        <f aca="false">D45/Inputs!$D$4</f>
        <v>5755.12202632997</v>
      </c>
    </row>
    <row r="46" customFormat="false" ht="15" hidden="false" customHeight="false" outlineLevel="0" collapsed="false">
      <c r="A46" s="6" t="s">
        <v>19</v>
      </c>
      <c r="B46" s="7" t="s">
        <v>17</v>
      </c>
      <c r="C46" s="8" t="n">
        <f aca="false">C44-C45</f>
        <v>-75855.7142857143</v>
      </c>
      <c r="D46" s="8" t="n">
        <f aca="false">D44-D45</f>
        <v>240787.2</v>
      </c>
      <c r="E46" s="8" t="n">
        <f aca="false">E44-E45</f>
        <v>534168.142857143</v>
      </c>
      <c r="F46" s="5" t="n">
        <f aca="false">D46/Inputs!$D$4</f>
        <v>1853.77781199477</v>
      </c>
    </row>
    <row r="47" customFormat="false" ht="15" hidden="false" customHeight="false" outlineLevel="0" collapsed="false">
      <c r="A47" s="0" t="s">
        <v>331</v>
      </c>
      <c r="B47" s="0" t="s">
        <v>17</v>
      </c>
      <c r="C47" s="5" t="n">
        <f aca="false">Inputs!C$15*Inputs!C$86+Inputs!C$16*Inputs!C$94+Inputs!C$17*Inputs!C$102+Inputs!C$18*Inputs!C$110</f>
        <v>404000</v>
      </c>
      <c r="D47" s="5" t="n">
        <f aca="false">Inputs!D$15*Inputs!D$86+Inputs!D$16*Inputs!D$94+Inputs!D$17*Inputs!D$102+Inputs!D$18*Inputs!D$110</f>
        <v>404000</v>
      </c>
      <c r="E47" s="5" t="n">
        <f aca="false">Inputs!E$15*Inputs!E$86+Inputs!E$16*Inputs!E$94+Inputs!E$17*Inputs!E$102+Inputs!E$18*Inputs!E$110</f>
        <v>404000</v>
      </c>
      <c r="F47" s="5" t="n">
        <f aca="false">D47/Inputs!$D$4</f>
        <v>3110.32412040958</v>
      </c>
    </row>
    <row r="48" customFormat="false" ht="15" hidden="false" customHeight="false" outlineLevel="0" collapsed="false">
      <c r="A48" s="0" t="s">
        <v>340</v>
      </c>
      <c r="B48" s="0" t="s">
        <v>17</v>
      </c>
      <c r="C48" s="5" t="n">
        <f aca="false">C8+C18+C28+C38</f>
        <v>453535.714285714</v>
      </c>
      <c r="D48" s="5" t="n">
        <f aca="false">D8+D18+D28+D38</f>
        <v>385800</v>
      </c>
      <c r="E48" s="5" t="n">
        <f aca="false">E8+E18+E28+E38</f>
        <v>325092.857142857</v>
      </c>
      <c r="F48" s="5" t="n">
        <f aca="false">D48/Inputs!$D$4</f>
        <v>2970.20555854954</v>
      </c>
    </row>
    <row r="49" customFormat="false" ht="15" hidden="false" customHeight="false" outlineLevel="0" collapsed="false">
      <c r="A49" s="0" t="s">
        <v>368</v>
      </c>
      <c r="B49" s="0" t="s">
        <v>86</v>
      </c>
      <c r="C49" s="5" t="n">
        <f aca="false">Inputs!C$15+Inputs!C$16+Inputs!C$17+Inputs!C$18</f>
        <v>700</v>
      </c>
      <c r="D49" s="5" t="n">
        <f aca="false">Inputs!D$15+Inputs!D$16+Inputs!D$17+Inputs!D$18</f>
        <v>700</v>
      </c>
      <c r="E49" s="5" t="n">
        <f aca="false">Inputs!E$15+Inputs!E$16+Inputs!E$17+Inputs!E$18</f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369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customFormat="false" ht="15" hidden="false" customHeight="false" outlineLevel="0" collapsed="false">
      <c r="A3" s="3" t="s">
        <v>370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0" t="s">
        <v>371</v>
      </c>
      <c r="B4" s="0" t="s">
        <v>236</v>
      </c>
      <c r="C4" s="5" t="n">
        <f aca="false">Inputs!C$116</f>
        <v>18000</v>
      </c>
      <c r="D4" s="5" t="n">
        <f aca="false">Inputs!D$116</f>
        <v>18000</v>
      </c>
      <c r="E4" s="5" t="n">
        <f aca="false">Inputs!E$116</f>
        <v>18000</v>
      </c>
      <c r="F4" s="5" t="n">
        <f aca="false">D4/Inputs!$D$4</f>
        <v>138.578797443991</v>
      </c>
    </row>
    <row r="5" customFormat="false" ht="15" hidden="false" customHeight="false" outlineLevel="0" collapsed="false">
      <c r="A5" s="0" t="s">
        <v>372</v>
      </c>
      <c r="B5" s="0" t="s">
        <v>236</v>
      </c>
      <c r="C5" s="5" t="n">
        <f aca="false">Inputs!C$117</f>
        <v>11500</v>
      </c>
      <c r="D5" s="5" t="n">
        <f aca="false">Inputs!D$117</f>
        <v>11500</v>
      </c>
      <c r="E5" s="5" t="n">
        <f aca="false">Inputs!E$117</f>
        <v>11500</v>
      </c>
      <c r="F5" s="5" t="n">
        <f aca="false">D5/Inputs!$D$4</f>
        <v>88.5364539225499</v>
      </c>
    </row>
    <row r="6" customFormat="false" ht="15" hidden="false" customHeight="false" outlineLevel="0" collapsed="false">
      <c r="A6" s="0" t="s">
        <v>373</v>
      </c>
      <c r="B6" s="0" t="s">
        <v>236</v>
      </c>
      <c r="C6" s="5" t="n">
        <f aca="false">Inputs!C$118</f>
        <v>10500</v>
      </c>
      <c r="D6" s="5" t="n">
        <f aca="false">Inputs!D$118</f>
        <v>10500</v>
      </c>
      <c r="E6" s="5" t="n">
        <f aca="false">Inputs!E$118</f>
        <v>10500</v>
      </c>
      <c r="F6" s="5" t="n">
        <f aca="false">D6/Inputs!$D$4</f>
        <v>80.8376318423281</v>
      </c>
    </row>
    <row r="7" customFormat="false" ht="15" hidden="false" customHeight="false" outlineLevel="0" collapsed="false">
      <c r="A7" s="0" t="s">
        <v>374</v>
      </c>
      <c r="B7" s="0" t="s">
        <v>25</v>
      </c>
      <c r="C7" s="17" t="n">
        <f aca="false">C4/Inputs!C$115-1</f>
        <v>0.247649393884993</v>
      </c>
      <c r="D7" s="17" t="n">
        <f aca="false">D4/Inputs!D$115-1</f>
        <v>0.247649393884993</v>
      </c>
      <c r="E7" s="17" t="n">
        <f aca="false">E4/Inputs!E$115-1</f>
        <v>0.247649393884993</v>
      </c>
    </row>
    <row r="8" customFormat="false" ht="15" hidden="false" customHeight="false" outlineLevel="0" collapsed="false">
      <c r="A8" s="0" t="s">
        <v>375</v>
      </c>
      <c r="B8" s="0" t="s">
        <v>25</v>
      </c>
      <c r="C8" s="17" t="n">
        <f aca="false">C5/Inputs!C$114-1</f>
        <v>0.245157420380304</v>
      </c>
      <c r="D8" s="17" t="n">
        <f aca="false">D5/Inputs!D$114-1</f>
        <v>0.245157420380304</v>
      </c>
      <c r="E8" s="17" t="n">
        <f aca="false">E5/Inputs!E$114-1</f>
        <v>0.245157420380304</v>
      </c>
    </row>
    <row r="9" customFormat="false" ht="15" hidden="false" customHeight="false" outlineLevel="0" collapsed="false">
      <c r="A9" s="0" t="s">
        <v>376</v>
      </c>
      <c r="B9" s="0" t="s">
        <v>25</v>
      </c>
      <c r="C9" s="17" t="n">
        <f aca="false">C6/Inputs!C$114-1</f>
        <v>0.136882862086364</v>
      </c>
      <c r="D9" s="17" t="n">
        <f aca="false">D6/Inputs!D$114-1</f>
        <v>0.136882862086364</v>
      </c>
      <c r="E9" s="17" t="n">
        <f aca="false">E6/Inputs!E$114-1</f>
        <v>0.136882862086364</v>
      </c>
    </row>
    <row r="10" customFormat="false" ht="15" hidden="false" customHeight="false" outlineLevel="0" collapsed="false">
      <c r="A10" s="3" t="s">
        <v>377</v>
      </c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0" t="s">
        <v>378</v>
      </c>
      <c r="B11" s="0" t="s">
        <v>17</v>
      </c>
      <c r="C11" s="5" t="n">
        <f aca="false">(C4+C5+C6)*12</f>
        <v>480000</v>
      </c>
      <c r="D11" s="5" t="n">
        <f aca="false">(D4+D5+D6)*12</f>
        <v>480000</v>
      </c>
      <c r="E11" s="5" t="n">
        <f aca="false">(E4+E5+E6)*12</f>
        <v>480000</v>
      </c>
      <c r="F11" s="5" t="n">
        <f aca="false">D11/Inputs!$D$4</f>
        <v>3695.43459850643</v>
      </c>
    </row>
    <row r="12" customFormat="false" ht="15" hidden="false" customHeight="false" outlineLevel="0" collapsed="false">
      <c r="A12" s="0" t="s">
        <v>379</v>
      </c>
      <c r="B12" s="0" t="s">
        <v>17</v>
      </c>
      <c r="C12" s="5" t="n">
        <f aca="false">(C4+C5+C6)*12*(Inputs!C$119+Inputs!C$120)+3*12*Inputs!C$121</f>
        <v>37800</v>
      </c>
      <c r="D12" s="5" t="n">
        <f aca="false">(D4+D5+D6)*12*(Inputs!D$119+Inputs!D$120)+3*12*Inputs!D$121</f>
        <v>37800</v>
      </c>
      <c r="E12" s="5" t="n">
        <f aca="false">(E4+E5+E6)*12*(Inputs!E$119+Inputs!E$120)+3*12*Inputs!E$121</f>
        <v>37800</v>
      </c>
      <c r="F12" s="5" t="n">
        <f aca="false">D12/Inputs!$D$4</f>
        <v>291.015474632381</v>
      </c>
    </row>
    <row r="13" customFormat="false" ht="15" hidden="false" customHeight="false" outlineLevel="0" collapsed="false">
      <c r="A13" s="0" t="s">
        <v>380</v>
      </c>
      <c r="B13" s="0" t="s">
        <v>17</v>
      </c>
      <c r="C13" s="5" t="n">
        <f aca="false">Inputs!C$122*Inputs!C$123</f>
        <v>17500</v>
      </c>
      <c r="D13" s="5" t="n">
        <f aca="false">Inputs!D$122*Inputs!D$123</f>
        <v>15000</v>
      </c>
      <c r="E13" s="5" t="n">
        <f aca="false">Inputs!E$122*Inputs!E$123</f>
        <v>12500</v>
      </c>
      <c r="F13" s="5" t="n">
        <f aca="false">D13/Inputs!$D$4</f>
        <v>115.482331203326</v>
      </c>
    </row>
    <row r="14" customFormat="false" ht="15" hidden="false" customHeight="false" outlineLevel="0" collapsed="false">
      <c r="A14" s="6" t="s">
        <v>381</v>
      </c>
      <c r="B14" s="7" t="s">
        <v>17</v>
      </c>
      <c r="C14" s="8" t="n">
        <f aca="false">C11+C12+C13</f>
        <v>535300</v>
      </c>
      <c r="D14" s="8" t="n">
        <f aca="false">D11+D12+D13</f>
        <v>532800</v>
      </c>
      <c r="E14" s="8" t="n">
        <f aca="false">E11+E12+E13</f>
        <v>530300</v>
      </c>
      <c r="F14" s="5" t="n">
        <f aca="false">D14/Inputs!$D$4</f>
        <v>4101.93240434214</v>
      </c>
    </row>
    <row r="15" customFormat="false" ht="15" hidden="false" customHeight="false" outlineLevel="0" collapsed="false">
      <c r="A15" s="0" t="s">
        <v>382</v>
      </c>
      <c r="B15" s="0" t="s">
        <v>236</v>
      </c>
      <c r="C15" s="5" t="n">
        <f aca="false">C4+C5+C6</f>
        <v>40000</v>
      </c>
      <c r="D15" s="5" t="n">
        <f aca="false">D4+D5+D6</f>
        <v>40000</v>
      </c>
      <c r="E15" s="5" t="n">
        <f aca="false">E4+E5+E6</f>
        <v>40000</v>
      </c>
      <c r="F15" s="5" t="n">
        <f aca="false">D15/Inputs!$D$4</f>
        <v>307.952883208869</v>
      </c>
    </row>
    <row r="16" customFormat="false" ht="15" hidden="false" customHeight="false" outlineLevel="0" collapsed="false">
      <c r="A16" s="3" t="s">
        <v>383</v>
      </c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0" t="s">
        <v>384</v>
      </c>
      <c r="B17" s="0" t="s">
        <v>54</v>
      </c>
      <c r="C17" s="5" t="n">
        <f aca="false">(Inputs!C$126+Inputs!C$127+Inputs!C$128+Inputs!C$129+Inputs!C$130+Inputs!C$131)*365</f>
        <v>4672</v>
      </c>
      <c r="D17" s="5" t="n">
        <f aca="false">(Inputs!D$126+Inputs!D$127+Inputs!D$128+Inputs!D$129+Inputs!D$130+Inputs!D$131)*365</f>
        <v>4015</v>
      </c>
      <c r="E17" s="5" t="n">
        <f aca="false">(Inputs!E$126+Inputs!E$127+Inputs!E$128+Inputs!E$129+Inputs!E$130+Inputs!E$131)*365</f>
        <v>3558.75</v>
      </c>
    </row>
    <row r="18" customFormat="false" ht="15" hidden="false" customHeight="false" outlineLevel="0" collapsed="false">
      <c r="A18" s="0" t="s">
        <v>385</v>
      </c>
      <c r="B18" s="0" t="s">
        <v>54</v>
      </c>
      <c r="C18" s="5" t="n">
        <f aca="false">Inputs!C$124*Inputs!C$125</f>
        <v>2160</v>
      </c>
      <c r="D18" s="5" t="n">
        <f aca="false">Inputs!D$124*Inputs!D$125</f>
        <v>2160</v>
      </c>
      <c r="E18" s="5" t="n">
        <f aca="false">Inputs!E$124*Inputs!E$125</f>
        <v>2160</v>
      </c>
    </row>
    <row r="19" customFormat="false" ht="15" hidden="false" customHeight="false" outlineLevel="0" collapsed="false">
      <c r="A19" s="0" t="s">
        <v>386</v>
      </c>
      <c r="B19" s="0" t="s">
        <v>387</v>
      </c>
      <c r="C19" s="16" t="n">
        <f aca="false">C17/C18</f>
        <v>2.16296296296296</v>
      </c>
      <c r="D19" s="16" t="n">
        <f aca="false">D17/D18</f>
        <v>1.8587962962963</v>
      </c>
      <c r="E19" s="16" t="n">
        <f aca="false">E17/E18</f>
        <v>1.64756944444444</v>
      </c>
    </row>
    <row r="20" customFormat="false" ht="15" hidden="false" customHeight="false" outlineLevel="0" collapsed="false">
      <c r="A20" s="0" t="s">
        <v>388</v>
      </c>
      <c r="B20" s="0" t="s">
        <v>25</v>
      </c>
      <c r="C20" s="17" t="n">
        <f aca="false">C19/3</f>
        <v>0.720987654320988</v>
      </c>
      <c r="D20" s="17" t="n">
        <f aca="false">D19/3</f>
        <v>0.619598765432099</v>
      </c>
      <c r="E20" s="17" t="n">
        <f aca="false">E19/3</f>
        <v>0.549189814814815</v>
      </c>
    </row>
    <row r="21" customFormat="false" ht="15" hidden="false" customHeight="false" outlineLevel="0" collapsed="false">
      <c r="A21" s="0" t="s">
        <v>389</v>
      </c>
      <c r="B21" s="0" t="s">
        <v>387</v>
      </c>
      <c r="C21" s="16" t="n">
        <f aca="false">365/(5.5*52*(1-3/52))</f>
        <v>1.3543599257885</v>
      </c>
      <c r="D21" s="16" t="n">
        <f aca="false">365/(5.5*52*(1-3/52))</f>
        <v>1.3543599257885</v>
      </c>
      <c r="E21" s="16" t="n">
        <f aca="false">365/(5.5*52*(1-3/52))</f>
        <v>1.3543599257885</v>
      </c>
      <c r="G21" s="7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4" min="3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90"/>
  </cols>
  <sheetData>
    <row r="1" customFormat="false" ht="15" hidden="false" customHeight="false" outlineLevel="0" collapsed="false">
      <c r="A1" s="1" t="s">
        <v>391</v>
      </c>
    </row>
    <row r="2" customFormat="false" ht="15" hidden="false" customHeight="false" outlineLevel="0" collapsed="false">
      <c r="A2" s="2" t="s">
        <v>392</v>
      </c>
      <c r="B2" s="2" t="s">
        <v>393</v>
      </c>
      <c r="C2" s="2" t="s">
        <v>394</v>
      </c>
      <c r="D2" s="2" t="s">
        <v>395</v>
      </c>
      <c r="E2" s="2" t="s">
        <v>396</v>
      </c>
      <c r="F2" s="2" t="s">
        <v>397</v>
      </c>
      <c r="G2" s="2" t="s">
        <v>398</v>
      </c>
      <c r="H2" s="2" t="s">
        <v>14</v>
      </c>
    </row>
    <row r="3" customFormat="false" ht="15" hidden="false" customHeight="false" outlineLevel="0" collapsed="false">
      <c r="A3" s="0" t="s">
        <v>399</v>
      </c>
      <c r="B3" s="0" t="s">
        <v>400</v>
      </c>
      <c r="C3" s="13" t="n">
        <v>72000</v>
      </c>
      <c r="D3" s="13" t="n">
        <v>48000</v>
      </c>
      <c r="E3" s="5" t="s">
        <v>401</v>
      </c>
      <c r="F3" s="5" t="n">
        <f aca="false">C3/Inputs!$D$4</f>
        <v>554.315189775964</v>
      </c>
      <c r="G3" s="5" t="n">
        <f aca="false">D3/Inputs!$D$4</f>
        <v>369.543459850643</v>
      </c>
      <c r="H3" s="7" t="s">
        <v>402</v>
      </c>
    </row>
    <row r="4" customFormat="false" ht="15" hidden="false" customHeight="false" outlineLevel="0" collapsed="false">
      <c r="A4" s="0" t="s">
        <v>403</v>
      </c>
      <c r="B4" s="0" t="s">
        <v>400</v>
      </c>
      <c r="C4" s="13" t="n">
        <v>60000</v>
      </c>
      <c r="D4" s="13" t="n">
        <v>18000</v>
      </c>
      <c r="E4" s="5" t="s">
        <v>404</v>
      </c>
      <c r="F4" s="5" t="n">
        <f aca="false">C4/Inputs!$D$4</f>
        <v>461.929324813304</v>
      </c>
      <c r="G4" s="5" t="n">
        <f aca="false">D4/Inputs!$D$4</f>
        <v>138.578797443991</v>
      </c>
      <c r="H4" s="7" t="s">
        <v>405</v>
      </c>
    </row>
    <row r="5" customFormat="false" ht="15" hidden="false" customHeight="false" outlineLevel="0" collapsed="false">
      <c r="A5" s="0" t="s">
        <v>406</v>
      </c>
      <c r="B5" s="0" t="s">
        <v>400</v>
      </c>
      <c r="C5" s="13" t="n">
        <v>80000</v>
      </c>
      <c r="D5" s="13" t="n">
        <v>36000</v>
      </c>
      <c r="E5" s="5" t="s">
        <v>407</v>
      </c>
      <c r="F5" s="5" t="n">
        <f aca="false">C5/Inputs!$D$4</f>
        <v>615.905766417738</v>
      </c>
      <c r="G5" s="5" t="n">
        <f aca="false">D5/Inputs!$D$4</f>
        <v>277.157594887982</v>
      </c>
      <c r="H5" s="7" t="s">
        <v>408</v>
      </c>
    </row>
    <row r="6" customFormat="false" ht="15" hidden="false" customHeight="false" outlineLevel="0" collapsed="false">
      <c r="A6" s="0" t="s">
        <v>409</v>
      </c>
      <c r="B6" s="0" t="s">
        <v>400</v>
      </c>
      <c r="C6" s="13" t="n">
        <v>120000</v>
      </c>
      <c r="D6" s="13" t="n">
        <v>24000</v>
      </c>
      <c r="E6" s="5" t="s">
        <v>410</v>
      </c>
      <c r="F6" s="5" t="n">
        <f aca="false">C6/Inputs!$D$4</f>
        <v>923.858649626607</v>
      </c>
      <c r="G6" s="5" t="n">
        <f aca="false">D6/Inputs!$D$4</f>
        <v>184.771729925321</v>
      </c>
      <c r="H6" s="7" t="s">
        <v>411</v>
      </c>
    </row>
    <row r="7" customFormat="false" ht="15" hidden="false" customHeight="false" outlineLevel="0" collapsed="false">
      <c r="A7" s="0" t="s">
        <v>412</v>
      </c>
      <c r="B7" s="0" t="s">
        <v>400</v>
      </c>
      <c r="C7" s="13" t="n">
        <v>60000</v>
      </c>
      <c r="D7" s="13" t="n">
        <v>0</v>
      </c>
      <c r="E7" s="5" t="s">
        <v>413</v>
      </c>
      <c r="F7" s="5" t="n">
        <f aca="false">C7/Inputs!$D$4</f>
        <v>461.929324813304</v>
      </c>
      <c r="G7" s="5" t="n">
        <f aca="false">D7/Inputs!$D$4</f>
        <v>0</v>
      </c>
      <c r="H7" s="7" t="s">
        <v>414</v>
      </c>
    </row>
    <row r="8" customFormat="false" ht="15" hidden="false" customHeight="false" outlineLevel="0" collapsed="false">
      <c r="A8" s="0" t="s">
        <v>415</v>
      </c>
      <c r="B8" s="0" t="s">
        <v>400</v>
      </c>
      <c r="C8" s="13" t="n">
        <v>120000</v>
      </c>
      <c r="D8" s="13" t="n">
        <v>36000</v>
      </c>
      <c r="E8" s="5" t="s">
        <v>404</v>
      </c>
      <c r="F8" s="5" t="n">
        <f aca="false">C8/Inputs!$D$4</f>
        <v>923.858649626607</v>
      </c>
      <c r="G8" s="5" t="n">
        <f aca="false">D8/Inputs!$D$4</f>
        <v>277.157594887982</v>
      </c>
      <c r="H8" s="7" t="s">
        <v>416</v>
      </c>
    </row>
    <row r="9" customFormat="false" ht="15" hidden="false" customHeight="false" outlineLevel="0" collapsed="false">
      <c r="A9" s="0" t="s">
        <v>417</v>
      </c>
      <c r="B9" s="0" t="s">
        <v>400</v>
      </c>
      <c r="C9" s="13" t="n">
        <v>12000</v>
      </c>
      <c r="D9" s="13" t="n">
        <v>0</v>
      </c>
      <c r="E9" s="5" t="s">
        <v>413</v>
      </c>
      <c r="F9" s="5" t="n">
        <f aca="false">C9/Inputs!$D$4</f>
        <v>92.3858649626607</v>
      </c>
      <c r="G9" s="5" t="n">
        <f aca="false">D9/Inputs!$D$4</f>
        <v>0</v>
      </c>
      <c r="H9" s="7" t="s">
        <v>418</v>
      </c>
    </row>
    <row r="10" customFormat="false" ht="15" hidden="false" customHeight="false" outlineLevel="0" collapsed="false">
      <c r="A10" s="0" t="s">
        <v>419</v>
      </c>
      <c r="B10" s="0" t="s">
        <v>400</v>
      </c>
      <c r="C10" s="13" t="n">
        <v>20000</v>
      </c>
      <c r="D10" s="13" t="n">
        <v>0</v>
      </c>
      <c r="E10" s="5" t="s">
        <v>413</v>
      </c>
      <c r="F10" s="5" t="n">
        <f aca="false">C10/Inputs!$D$4</f>
        <v>153.976441604435</v>
      </c>
      <c r="G10" s="5" t="n">
        <f aca="false">D10/Inputs!$D$4</f>
        <v>0</v>
      </c>
      <c r="H10" s="7" t="s">
        <v>420</v>
      </c>
    </row>
    <row r="11" customFormat="false" ht="15" hidden="false" customHeight="false" outlineLevel="0" collapsed="false">
      <c r="A11" s="0" t="s">
        <v>421</v>
      </c>
      <c r="B11" s="0" t="s">
        <v>400</v>
      </c>
      <c r="C11" s="13" t="n">
        <v>50000</v>
      </c>
      <c r="D11" s="13" t="n">
        <v>15000</v>
      </c>
      <c r="E11" s="5" t="s">
        <v>407</v>
      </c>
      <c r="F11" s="5" t="n">
        <f aca="false">C11/Inputs!$D$4</f>
        <v>384.941104011086</v>
      </c>
      <c r="G11" s="5" t="n">
        <f aca="false">D11/Inputs!$D$4</f>
        <v>115.482331203326</v>
      </c>
      <c r="H11" s="7" t="s">
        <v>422</v>
      </c>
    </row>
    <row r="12" customFormat="false" ht="15" hidden="false" customHeight="false" outlineLevel="0" collapsed="false">
      <c r="A12" s="0" t="s">
        <v>423</v>
      </c>
      <c r="B12" s="0" t="s">
        <v>400</v>
      </c>
      <c r="C12" s="13" t="n">
        <v>20000</v>
      </c>
      <c r="D12" s="13" t="n">
        <v>0</v>
      </c>
      <c r="E12" s="5" t="s">
        <v>413</v>
      </c>
      <c r="F12" s="5" t="n">
        <f aca="false">C12/Inputs!$D$4</f>
        <v>153.976441604435</v>
      </c>
      <c r="G12" s="5" t="n">
        <f aca="false">D12/Inputs!$D$4</f>
        <v>0</v>
      </c>
      <c r="H12" s="7" t="s">
        <v>424</v>
      </c>
    </row>
    <row r="13" customFormat="false" ht="15" hidden="false" customHeight="false" outlineLevel="0" collapsed="false">
      <c r="A13" s="0" t="s">
        <v>425</v>
      </c>
      <c r="B13" s="0" t="s">
        <v>400</v>
      </c>
      <c r="C13" s="13" t="n">
        <v>20000</v>
      </c>
      <c r="D13" s="13" t="n">
        <v>11000</v>
      </c>
      <c r="E13" s="5" t="s">
        <v>426</v>
      </c>
      <c r="F13" s="5" t="n">
        <f aca="false">C13/Inputs!$D$4</f>
        <v>153.976441604435</v>
      </c>
      <c r="G13" s="5" t="n">
        <f aca="false">D13/Inputs!$D$4</f>
        <v>84.687042882439</v>
      </c>
      <c r="H13" s="7" t="s">
        <v>427</v>
      </c>
    </row>
    <row r="14" customFormat="false" ht="15" hidden="false" customHeight="false" outlineLevel="0" collapsed="false">
      <c r="A14" s="0" t="s">
        <v>428</v>
      </c>
      <c r="B14" s="0" t="s">
        <v>400</v>
      </c>
      <c r="C14" s="13" t="n">
        <v>180000</v>
      </c>
      <c r="D14" s="13" t="n">
        <v>0</v>
      </c>
      <c r="E14" s="5" t="s">
        <v>413</v>
      </c>
      <c r="F14" s="5" t="n">
        <f aca="false">C14/Inputs!$D$4</f>
        <v>1385.78797443991</v>
      </c>
      <c r="G14" s="5" t="n">
        <f aca="false">D14/Inputs!$D$4</f>
        <v>0</v>
      </c>
      <c r="H14" s="7" t="s">
        <v>429</v>
      </c>
    </row>
    <row r="15" customFormat="false" ht="15" hidden="false" customHeight="false" outlineLevel="0" collapsed="false">
      <c r="A15" s="0" t="s">
        <v>430</v>
      </c>
      <c r="B15" s="0" t="s">
        <v>400</v>
      </c>
      <c r="C15" s="13" t="n">
        <v>100000</v>
      </c>
      <c r="D15" s="13" t="n">
        <v>0</v>
      </c>
      <c r="E15" s="5" t="s">
        <v>413</v>
      </c>
      <c r="F15" s="5" t="n">
        <f aca="false">C15/Inputs!$D$4</f>
        <v>769.882208022173</v>
      </c>
      <c r="G15" s="5" t="n">
        <f aca="false">D15/Inputs!$D$4</f>
        <v>0</v>
      </c>
      <c r="H15" s="7" t="s">
        <v>431</v>
      </c>
    </row>
    <row r="16" customFormat="false" ht="15" hidden="false" customHeight="false" outlineLevel="0" collapsed="false">
      <c r="A16" s="0" t="s">
        <v>432</v>
      </c>
      <c r="B16" s="0" t="s">
        <v>400</v>
      </c>
      <c r="C16" s="13" t="n">
        <v>80000</v>
      </c>
      <c r="D16" s="13" t="n">
        <v>0</v>
      </c>
      <c r="E16" s="5" t="s">
        <v>413</v>
      </c>
      <c r="F16" s="5" t="n">
        <f aca="false">C16/Inputs!$D$4</f>
        <v>615.905766417738</v>
      </c>
      <c r="G16" s="5" t="n">
        <f aca="false">D16/Inputs!$D$4</f>
        <v>0</v>
      </c>
      <c r="H16" s="7" t="s">
        <v>433</v>
      </c>
    </row>
    <row r="17" customFormat="false" ht="15" hidden="false" customHeight="false" outlineLevel="0" collapsed="false">
      <c r="A17" s="6" t="s">
        <v>434</v>
      </c>
      <c r="C17" s="8" t="n">
        <f aca="false">SUM(C3:C16)</f>
        <v>994000</v>
      </c>
      <c r="D17" s="8" t="n">
        <f aca="false">SUM(D3:D16)</f>
        <v>188000</v>
      </c>
      <c r="E17" s="5"/>
      <c r="F17" s="5" t="n">
        <f aca="false">C17/Inputs!$D$4</f>
        <v>7652.6291477404</v>
      </c>
      <c r="G17" s="5" t="n">
        <f aca="false">D17/Inputs!$D$4</f>
        <v>1447.37855108168</v>
      </c>
    </row>
    <row r="18" customFormat="false" ht="15" hidden="false" customHeight="false" outlineLevel="0" collapsed="false">
      <c r="A18" s="0" t="s">
        <v>435</v>
      </c>
      <c r="C18" s="5" t="n">
        <f aca="false">C3+C4+C5+C8+C11</f>
        <v>382000</v>
      </c>
      <c r="D18" s="5" t="n">
        <f aca="false">D3+D4+D5+D8+D11</f>
        <v>153000</v>
      </c>
      <c r="E18" s="5"/>
      <c r="F18" s="5" t="n">
        <f aca="false">C18/Inputs!$D$4</f>
        <v>2940.9500346447</v>
      </c>
      <c r="G18" s="5" t="n">
        <f aca="false">D18/Inputs!$D$4</f>
        <v>1177.91977827392</v>
      </c>
    </row>
    <row r="19" customFormat="false" ht="15" hidden="false" customHeight="false" outlineLevel="0" collapsed="false">
      <c r="C19" s="5"/>
      <c r="D19" s="5"/>
      <c r="E19" s="5"/>
      <c r="F19" s="5"/>
      <c r="G19" s="5"/>
    </row>
    <row r="20" customFormat="false" ht="15" hidden="false" customHeight="false" outlineLevel="0" collapsed="false">
      <c r="A20" s="6" t="s">
        <v>436</v>
      </c>
      <c r="C20" s="5"/>
      <c r="D20" s="5"/>
      <c r="E20" s="5"/>
      <c r="F20" s="5"/>
      <c r="G20" s="5"/>
    </row>
    <row r="21" customFormat="false" ht="15" hidden="false" customHeight="false" outlineLevel="0" collapsed="false">
      <c r="A21" s="0" t="s">
        <v>437</v>
      </c>
      <c r="B21" s="0" t="s">
        <v>438</v>
      </c>
      <c r="C21" s="13" t="n">
        <v>420000</v>
      </c>
      <c r="D21" s="13" t="n">
        <v>0</v>
      </c>
      <c r="E21" s="5" t="s">
        <v>413</v>
      </c>
      <c r="F21" s="5" t="n">
        <f aca="false">C21/Inputs!$D$4</f>
        <v>3233.50527369313</v>
      </c>
      <c r="G21" s="5" t="n">
        <f aca="false">D21/Inputs!$D$4</f>
        <v>0</v>
      </c>
      <c r="H21" s="7" t="s">
        <v>439</v>
      </c>
    </row>
    <row r="22" customFormat="false" ht="15" hidden="false" customHeight="false" outlineLevel="0" collapsed="false">
      <c r="A22" s="0" t="s">
        <v>440</v>
      </c>
      <c r="B22" s="0" t="s">
        <v>438</v>
      </c>
      <c r="C22" s="13" t="n">
        <v>240000</v>
      </c>
      <c r="D22" s="13" t="n">
        <v>0</v>
      </c>
      <c r="E22" s="5" t="s">
        <v>413</v>
      </c>
      <c r="F22" s="5" t="n">
        <f aca="false">C22/Inputs!$D$4</f>
        <v>1847.71729925321</v>
      </c>
      <c r="G22" s="5" t="n">
        <f aca="false">D22/Inputs!$D$4</f>
        <v>0</v>
      </c>
      <c r="H22" s="7" t="s">
        <v>441</v>
      </c>
    </row>
    <row r="23" customFormat="false" ht="15" hidden="false" customHeight="false" outlineLevel="0" collapsed="false">
      <c r="A23" s="0" t="s">
        <v>442</v>
      </c>
      <c r="B23" s="0" t="s">
        <v>438</v>
      </c>
      <c r="C23" s="13" t="n">
        <v>0</v>
      </c>
      <c r="D23" s="13" t="n">
        <v>72000</v>
      </c>
      <c r="E23" s="5" t="s">
        <v>443</v>
      </c>
      <c r="F23" s="5" t="n">
        <f aca="false">C23/Inputs!$D$4</f>
        <v>0</v>
      </c>
      <c r="G23" s="5" t="n">
        <f aca="false">D23/Inputs!$D$4</f>
        <v>554.315189775964</v>
      </c>
      <c r="H23" s="7" t="s">
        <v>444</v>
      </c>
    </row>
    <row r="24" customFormat="false" ht="15" hidden="false" customHeight="false" outlineLevel="0" collapsed="false">
      <c r="A24" s="6" t="s">
        <v>445</v>
      </c>
      <c r="C24" s="8" t="n">
        <f aca="false">SUM(C21:C23)</f>
        <v>660000</v>
      </c>
      <c r="D24" s="8" t="n">
        <f aca="false">SUM(D21:D23)</f>
        <v>72000</v>
      </c>
      <c r="E24" s="5"/>
      <c r="F24" s="5" t="n">
        <f aca="false">C24/Inputs!$D$4</f>
        <v>5081.22257294634</v>
      </c>
      <c r="G24" s="5" t="n">
        <f aca="false">D24/Inputs!$D$4</f>
        <v>554.315189775964</v>
      </c>
    </row>
    <row r="25" customFormat="false" ht="15" hidden="false" customHeight="false" outlineLevel="0" collapsed="false">
      <c r="A25" s="6" t="s">
        <v>446</v>
      </c>
      <c r="C25" s="8" t="n">
        <f aca="false">C17+C24</f>
        <v>1654000</v>
      </c>
      <c r="D25" s="8" t="n">
        <f aca="false">D17+D24</f>
        <v>260000</v>
      </c>
      <c r="E25" s="5"/>
      <c r="F25" s="5" t="n">
        <f aca="false">C25/Inputs!$D$4</f>
        <v>12733.8517206867</v>
      </c>
      <c r="G25" s="5" t="n">
        <f aca="false">D25/Inputs!$D$4</f>
        <v>2001.69374085765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447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customFormat="false" ht="15" hidden="false" customHeight="false" outlineLevel="0" collapsed="false">
      <c r="A3" s="3" t="s">
        <v>16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0" t="s">
        <v>27</v>
      </c>
      <c r="B4" s="0" t="s">
        <v>17</v>
      </c>
      <c r="C4" s="5" t="n">
        <f aca="false">Cattle!C8</f>
        <v>308080</v>
      </c>
      <c r="D4" s="5" t="n">
        <f aca="false">Cattle!D8</f>
        <v>444800</v>
      </c>
      <c r="E4" s="5" t="n">
        <f aca="false">Cattle!E8</f>
        <v>676450</v>
      </c>
      <c r="F4" s="5" t="n">
        <f aca="false">D4/Inputs!$D$4</f>
        <v>3424.43606128262</v>
      </c>
    </row>
    <row r="5" customFormat="false" ht="15" hidden="false" customHeight="false" outlineLevel="0" collapsed="false">
      <c r="A5" s="0" t="s">
        <v>28</v>
      </c>
      <c r="B5" s="0" t="s">
        <v>17</v>
      </c>
      <c r="C5" s="5" t="n">
        <f aca="false">Sheep!C7</f>
        <v>140616</v>
      </c>
      <c r="D5" s="5" t="n">
        <f aca="false">Sheep!D7</f>
        <v>228480</v>
      </c>
      <c r="E5" s="5" t="n">
        <f aca="false">Sheep!E7</f>
        <v>350784</v>
      </c>
      <c r="F5" s="5" t="n">
        <f aca="false">D5/Inputs!$D$4</f>
        <v>1759.02686888906</v>
      </c>
    </row>
    <row r="6" customFormat="false" ht="15" hidden="false" customHeight="false" outlineLevel="0" collapsed="false">
      <c r="A6" s="0" t="s">
        <v>29</v>
      </c>
      <c r="B6" s="0" t="s">
        <v>17</v>
      </c>
      <c r="C6" s="5" t="n">
        <f aca="false">Goats!C7</f>
        <v>43120</v>
      </c>
      <c r="D6" s="5" t="n">
        <f aca="false">Goats!D7</f>
        <v>62400</v>
      </c>
      <c r="E6" s="5" t="n">
        <f aca="false">Goats!E7</f>
        <v>88948.8</v>
      </c>
      <c r="F6" s="5" t="n">
        <f aca="false">D6/Inputs!$D$4</f>
        <v>480.406497805836</v>
      </c>
    </row>
    <row r="7" customFormat="false" ht="15" hidden="false" customHeight="false" outlineLevel="0" collapsed="false">
      <c r="A7" s="0" t="s">
        <v>30</v>
      </c>
      <c r="B7" s="0" t="s">
        <v>17</v>
      </c>
      <c r="C7" s="5" t="n">
        <f aca="false">Layers!C10</f>
        <v>871945.92</v>
      </c>
      <c r="D7" s="5" t="n">
        <f aca="false">Layers!D10</f>
        <v>1052511.75</v>
      </c>
      <c r="E7" s="5" t="n">
        <f aca="false">Layers!E10</f>
        <v>1271307.21428571</v>
      </c>
      <c r="F7" s="5" t="n">
        <f aca="false">D7/Inputs!$D$4</f>
        <v>8103.10070059281</v>
      </c>
    </row>
    <row r="8" customFormat="false" ht="15" hidden="false" customHeight="false" outlineLevel="0" collapsed="false">
      <c r="A8" s="0" t="s">
        <v>31</v>
      </c>
      <c r="B8" s="0" t="s">
        <v>17</v>
      </c>
      <c r="C8" s="5" t="n">
        <f aca="false">OtherPoultry!C44</f>
        <v>794400</v>
      </c>
      <c r="D8" s="5" t="n">
        <f aca="false">OtherPoultry!D44</f>
        <v>988320</v>
      </c>
      <c r="E8" s="5" t="n">
        <f aca="false">OtherPoultry!E44</f>
        <v>1181300</v>
      </c>
      <c r="F8" s="5" t="n">
        <f aca="false">D8/Inputs!$D$4</f>
        <v>7608.89983832474</v>
      </c>
    </row>
    <row r="9" customFormat="false" ht="15" hidden="false" customHeight="false" outlineLevel="0" collapsed="false">
      <c r="A9" s="6" t="s">
        <v>320</v>
      </c>
      <c r="B9" s="7" t="s">
        <v>17</v>
      </c>
      <c r="C9" s="8" t="n">
        <f aca="false">C4+C5+C6+C7+C8</f>
        <v>2158161.92</v>
      </c>
      <c r="D9" s="8" t="n">
        <f aca="false">D4+D5+D6+D7+D8</f>
        <v>2776511.75</v>
      </c>
      <c r="E9" s="8" t="n">
        <f aca="false">E4+E5+E6+E7+E8</f>
        <v>3568790.01428571</v>
      </c>
      <c r="F9" s="5" t="n">
        <f aca="false">D9/Inputs!$D$4</f>
        <v>21375.8699668951</v>
      </c>
    </row>
    <row r="10" customFormat="false" ht="15" hidden="false" customHeight="false" outlineLevel="0" collapsed="false">
      <c r="A10" s="3" t="s">
        <v>26</v>
      </c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0" t="s">
        <v>27</v>
      </c>
      <c r="B11" s="0" t="s">
        <v>17</v>
      </c>
      <c r="C11" s="5" t="n">
        <f aca="false">Cattle!C17</f>
        <v>-63160</v>
      </c>
      <c r="D11" s="5" t="n">
        <f aca="false">Cattle!D17</f>
        <v>107600</v>
      </c>
      <c r="E11" s="5" t="n">
        <f aca="false">Cattle!E17</f>
        <v>329400</v>
      </c>
      <c r="F11" s="5" t="n">
        <f aca="false">D11/Inputs!$D$4</f>
        <v>828.393255831858</v>
      </c>
    </row>
    <row r="12" customFormat="false" ht="15" hidden="false" customHeight="false" outlineLevel="0" collapsed="false">
      <c r="A12" s="0" t="s">
        <v>28</v>
      </c>
      <c r="B12" s="0" t="s">
        <v>17</v>
      </c>
      <c r="C12" s="5" t="n">
        <f aca="false">Sheep!C14</f>
        <v>17179.04</v>
      </c>
      <c r="D12" s="5" t="n">
        <f aca="false">Sheep!D14</f>
        <v>119340.8</v>
      </c>
      <c r="E12" s="5" t="n">
        <f aca="false">Sheep!E14</f>
        <v>255260.48</v>
      </c>
      <c r="F12" s="5" t="n">
        <f aca="false">D12/Inputs!$D$4</f>
        <v>918.783586111325</v>
      </c>
    </row>
    <row r="13" customFormat="false" ht="15" hidden="false" customHeight="false" outlineLevel="0" collapsed="false">
      <c r="A13" s="0" t="s">
        <v>29</v>
      </c>
      <c r="B13" s="0" t="s">
        <v>17</v>
      </c>
      <c r="C13" s="5" t="n">
        <f aca="false">Goats!C14</f>
        <v>17532.8</v>
      </c>
      <c r="D13" s="5" t="n">
        <f aca="false">Goats!D14</f>
        <v>39904</v>
      </c>
      <c r="E13" s="5" t="n">
        <f aca="false">Goats!E14</f>
        <v>69280.336</v>
      </c>
      <c r="F13" s="5" t="n">
        <f aca="false">D13/Inputs!$D$4</f>
        <v>307.213796289168</v>
      </c>
    </row>
    <row r="14" customFormat="false" ht="15" hidden="false" customHeight="false" outlineLevel="0" collapsed="false">
      <c r="A14" s="0" t="s">
        <v>30</v>
      </c>
      <c r="B14" s="0" t="s">
        <v>17</v>
      </c>
      <c r="C14" s="5" t="n">
        <f aca="false">Layers!C18</f>
        <v>-283031.373942857</v>
      </c>
      <c r="D14" s="5" t="n">
        <f aca="false">Layers!D18</f>
        <v>19600.2345535712</v>
      </c>
      <c r="E14" s="5" t="n">
        <f aca="false">Layers!E18</f>
        <v>328980.891428571</v>
      </c>
      <c r="F14" s="5" t="n">
        <f aca="false">D14/Inputs!$D$4</f>
        <v>150.898718558559</v>
      </c>
    </row>
    <row r="15" customFormat="false" ht="15" hidden="false" customHeight="false" outlineLevel="0" collapsed="false">
      <c r="A15" s="0" t="s">
        <v>31</v>
      </c>
      <c r="B15" s="0" t="s">
        <v>17</v>
      </c>
      <c r="C15" s="5" t="n">
        <f aca="false">OtherPoultry!C46</f>
        <v>-75855.7142857143</v>
      </c>
      <c r="D15" s="5" t="n">
        <f aca="false">OtherPoultry!D46</f>
        <v>240787.2</v>
      </c>
      <c r="E15" s="5" t="n">
        <f aca="false">OtherPoultry!E46</f>
        <v>534168.142857143</v>
      </c>
      <c r="F15" s="5" t="n">
        <f aca="false">D15/Inputs!$D$4</f>
        <v>1853.77781199477</v>
      </c>
    </row>
    <row r="16" customFormat="false" ht="15" hidden="false" customHeight="false" outlineLevel="0" collapsed="false">
      <c r="A16" s="6" t="s">
        <v>448</v>
      </c>
      <c r="B16" s="7" t="s">
        <v>17</v>
      </c>
      <c r="C16" s="8" t="n">
        <f aca="false">C11+C12+C13+C14+C15</f>
        <v>-387335.248228571</v>
      </c>
      <c r="D16" s="8" t="n">
        <f aca="false">D11+D12+D13+D14+D15</f>
        <v>527232.234553571</v>
      </c>
      <c r="E16" s="8" t="n">
        <f aca="false">E11+E12+E13+E14+E15</f>
        <v>1517089.85028571</v>
      </c>
      <c r="F16" s="5" t="n">
        <f aca="false">D16/Inputs!$D$4</f>
        <v>4059.06716878568</v>
      </c>
    </row>
    <row r="17" customFormat="false" ht="15" hidden="false" customHeight="false" outlineLevel="0" collapsed="false">
      <c r="A17" s="0" t="s">
        <v>327</v>
      </c>
      <c r="B17" s="0" t="s">
        <v>17</v>
      </c>
      <c r="C17" s="5" t="n">
        <f aca="false">Cattle!C16+Sheep!C13+Goats!C13+Layers!C17+OtherPoultry!C45</f>
        <v>2545497.16822857</v>
      </c>
      <c r="D17" s="5" t="n">
        <f aca="false">Cattle!D16+Sheep!D13+Goats!D13+Layers!D17+OtherPoultry!D45</f>
        <v>2249279.51544643</v>
      </c>
      <c r="E17" s="5" t="n">
        <f aca="false">Cattle!E16+Sheep!E13+Goats!E13+Layers!E17+OtherPoultry!E45</f>
        <v>2051700.164</v>
      </c>
      <c r="F17" s="5" t="n">
        <f aca="false">D17/Inputs!$D$4</f>
        <v>17316.8027981094</v>
      </c>
    </row>
    <row r="18" customFormat="false" ht="15" hidden="false" customHeight="false" outlineLevel="0" collapsed="false">
      <c r="A18" s="3" t="s">
        <v>449</v>
      </c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0" t="s">
        <v>450</v>
      </c>
      <c r="B19" s="0" t="s">
        <v>17</v>
      </c>
      <c r="C19" s="5" t="n">
        <f aca="false">Labour!C14</f>
        <v>535300</v>
      </c>
      <c r="D19" s="5" t="n">
        <f aca="false">Labour!D14</f>
        <v>532800</v>
      </c>
      <c r="E19" s="5" t="n">
        <f aca="false">Labour!E14</f>
        <v>530300</v>
      </c>
      <c r="F19" s="5" t="n">
        <f aca="false">D19/Inputs!$D$4</f>
        <v>4101.93240434214</v>
      </c>
    </row>
    <row r="20" customFormat="false" ht="15" hidden="false" customHeight="false" outlineLevel="0" collapsed="false">
      <c r="A20" s="0" t="s">
        <v>273</v>
      </c>
      <c r="B20" s="0" t="s">
        <v>17</v>
      </c>
      <c r="C20" s="5" t="n">
        <f aca="false">Inputs!C$133</f>
        <v>70000</v>
      </c>
      <c r="D20" s="5" t="n">
        <f aca="false">Inputs!D$133</f>
        <v>60000</v>
      </c>
      <c r="E20" s="5" t="n">
        <f aca="false">Inputs!E$133</f>
        <v>50000</v>
      </c>
      <c r="F20" s="5" t="n">
        <f aca="false">D20/Inputs!$D$4</f>
        <v>461.929324813304</v>
      </c>
    </row>
    <row r="21" customFormat="false" ht="15" hidden="false" customHeight="false" outlineLevel="0" collapsed="false">
      <c r="A21" s="0" t="s">
        <v>275</v>
      </c>
      <c r="B21" s="0" t="s">
        <v>17</v>
      </c>
      <c r="C21" s="5" t="n">
        <f aca="false">Inputs!C$134</f>
        <v>55000</v>
      </c>
      <c r="D21" s="5" t="n">
        <f aca="false">Inputs!D$134</f>
        <v>48000</v>
      </c>
      <c r="E21" s="5" t="n">
        <f aca="false">Inputs!E$134</f>
        <v>40000</v>
      </c>
      <c r="F21" s="5" t="n">
        <f aca="false">D21/Inputs!$D$4</f>
        <v>369.543459850643</v>
      </c>
    </row>
    <row r="22" customFormat="false" ht="15" hidden="false" customHeight="false" outlineLevel="0" collapsed="false">
      <c r="A22" s="0" t="s">
        <v>451</v>
      </c>
      <c r="B22" s="0" t="s">
        <v>17</v>
      </c>
      <c r="C22" s="5" t="n">
        <f aca="false">Inputs!C$135</f>
        <v>10000</v>
      </c>
      <c r="D22" s="5" t="n">
        <f aca="false">Inputs!D$135</f>
        <v>10000</v>
      </c>
      <c r="E22" s="5" t="n">
        <f aca="false">Inputs!E$135</f>
        <v>10000</v>
      </c>
      <c r="F22" s="5" t="n">
        <f aca="false">D22/Inputs!$D$4</f>
        <v>76.9882208022173</v>
      </c>
    </row>
    <row r="23" customFormat="false" ht="15" hidden="false" customHeight="false" outlineLevel="0" collapsed="false">
      <c r="A23" s="0" t="s">
        <v>277</v>
      </c>
      <c r="B23" s="0" t="s">
        <v>17</v>
      </c>
      <c r="C23" s="5" t="n">
        <f aca="false">Inputs!C$136</f>
        <v>6000</v>
      </c>
      <c r="D23" s="5" t="n">
        <f aca="false">Inputs!D$136</f>
        <v>6000</v>
      </c>
      <c r="E23" s="5" t="n">
        <f aca="false">Inputs!E$136</f>
        <v>6000</v>
      </c>
      <c r="F23" s="5" t="n">
        <f aca="false">D23/Inputs!$D$4</f>
        <v>46.1929324813304</v>
      </c>
    </row>
    <row r="24" customFormat="false" ht="15" hidden="false" customHeight="false" outlineLevel="0" collapsed="false">
      <c r="A24" s="0" t="s">
        <v>111</v>
      </c>
      <c r="B24" s="0" t="s">
        <v>17</v>
      </c>
      <c r="C24" s="5" t="n">
        <f aca="false">Inputs!C$25*Inputs!C$27</f>
        <v>32000</v>
      </c>
      <c r="D24" s="5" t="n">
        <f aca="false">Inputs!D$25*Inputs!D$27</f>
        <v>24000</v>
      </c>
      <c r="E24" s="5" t="n">
        <f aca="false">Inputs!E$25*Inputs!E$27</f>
        <v>16000</v>
      </c>
      <c r="F24" s="5" t="n">
        <f aca="false">D24/Inputs!$D$4</f>
        <v>184.771729925321</v>
      </c>
    </row>
    <row r="25" customFormat="false" ht="15" hidden="false" customHeight="false" outlineLevel="0" collapsed="false">
      <c r="A25" s="0" t="s">
        <v>452</v>
      </c>
      <c r="B25" s="0" t="s">
        <v>17</v>
      </c>
      <c r="C25" s="5" t="n">
        <f aca="false">Inputs!C$25/Inputs!C$26</f>
        <v>80000</v>
      </c>
      <c r="D25" s="5" t="n">
        <f aca="false">Inputs!D$25/Inputs!D$26</f>
        <v>80000</v>
      </c>
      <c r="E25" s="5" t="n">
        <f aca="false">Inputs!E$25/Inputs!E$26</f>
        <v>80000</v>
      </c>
      <c r="F25" s="5" t="n">
        <f aca="false">D25/Inputs!$D$4</f>
        <v>615.905766417738</v>
      </c>
    </row>
    <row r="26" customFormat="false" ht="15" hidden="false" customHeight="false" outlineLevel="0" collapsed="false">
      <c r="A26" s="0" t="s">
        <v>453</v>
      </c>
      <c r="B26" s="0" t="s">
        <v>17</v>
      </c>
      <c r="C26" s="5" t="n">
        <f aca="false">Cattle!C19+Sheep!C16+Goats!C16+Layers!C21+OtherPoultry!C47</f>
        <v>1609000</v>
      </c>
      <c r="D26" s="5" t="n">
        <f aca="false">Cattle!D19+Sheep!D16+Goats!D16+Layers!D21+OtherPoultry!D47</f>
        <v>1609000</v>
      </c>
      <c r="E26" s="5" t="n">
        <f aca="false">Cattle!E19+Sheep!E16+Goats!E16+Layers!E21+OtherPoultry!E47</f>
        <v>1609000</v>
      </c>
      <c r="F26" s="5" t="n">
        <f aca="false">D26/Inputs!$D$4</f>
        <v>12387.4047270768</v>
      </c>
    </row>
    <row r="27" customFormat="false" ht="15" hidden="false" customHeight="false" outlineLevel="0" collapsed="false">
      <c r="A27" s="0" t="s">
        <v>454</v>
      </c>
      <c r="B27" s="0" t="s">
        <v>17</v>
      </c>
      <c r="C27" s="5" t="n">
        <f aca="false">C26*Inputs!C$137</f>
        <v>0</v>
      </c>
      <c r="D27" s="5" t="n">
        <f aca="false">D26*Inputs!D$137</f>
        <v>0</v>
      </c>
      <c r="E27" s="5" t="n">
        <f aca="false">E26*Inputs!E$137</f>
        <v>0</v>
      </c>
      <c r="F27" s="5" t="n">
        <f aca="false">D27/Inputs!$D$4</f>
        <v>0</v>
      </c>
    </row>
    <row r="28" customFormat="false" ht="15" hidden="false" customHeight="false" outlineLevel="0" collapsed="false">
      <c r="A28" s="6" t="s">
        <v>455</v>
      </c>
      <c r="B28" s="7" t="s">
        <v>17</v>
      </c>
      <c r="C28" s="8" t="n">
        <f aca="false">C19+C20+C21+C22+C23+C24+C25+C27</f>
        <v>788300</v>
      </c>
      <c r="D28" s="8" t="n">
        <f aca="false">D19+D20+D21+D22+D23+D24+D25+D27</f>
        <v>760800</v>
      </c>
      <c r="E28" s="8" t="n">
        <f aca="false">E19+E20+E21+E22+E23+E24+E25+E27</f>
        <v>732300</v>
      </c>
      <c r="F28" s="5" t="n">
        <f aca="false">D28/Inputs!$D$4</f>
        <v>5857.26383863269</v>
      </c>
    </row>
    <row r="29" customFormat="false" ht="15" hidden="false" customHeight="false" outlineLevel="0" collapsed="false">
      <c r="A29" s="3" t="s">
        <v>456</v>
      </c>
      <c r="B29" s="4"/>
      <c r="C29" s="4"/>
      <c r="D29" s="4"/>
      <c r="E29" s="4"/>
      <c r="F29" s="4"/>
      <c r="G29" s="4"/>
    </row>
    <row r="30" customFormat="false" ht="15" hidden="false" customHeight="false" outlineLevel="0" collapsed="false">
      <c r="A30" s="6" t="s">
        <v>457</v>
      </c>
      <c r="B30" s="7" t="s">
        <v>17</v>
      </c>
      <c r="C30" s="8" t="n">
        <f aca="false">C16-C28</f>
        <v>-1175635.24822857</v>
      </c>
      <c r="D30" s="8" t="n">
        <f aca="false">D16-D28</f>
        <v>-233567.765446429</v>
      </c>
      <c r="E30" s="8" t="n">
        <f aca="false">E16-E28</f>
        <v>784789.850285714</v>
      </c>
      <c r="F30" s="5" t="n">
        <f aca="false">D30/Inputs!$D$4</f>
        <v>-1798.19666984701</v>
      </c>
      <c r="G30" s="7" t="s">
        <v>458</v>
      </c>
    </row>
    <row r="31" customFormat="false" ht="15" hidden="false" customHeight="false" outlineLevel="0" collapsed="false">
      <c r="A31" s="0" t="s">
        <v>459</v>
      </c>
      <c r="B31" s="0" t="s">
        <v>25</v>
      </c>
      <c r="C31" s="9" t="n">
        <f aca="false">IF(C9=0,0,C30/C9)</f>
        <v>-0.544739130708307</v>
      </c>
      <c r="D31" s="9" t="n">
        <f aca="false">IF(D9=0,0,D30/D9)</f>
        <v>-0.0841227361801832</v>
      </c>
      <c r="E31" s="9" t="n">
        <f aca="false">IF(E9=0,0,E30/E9)</f>
        <v>0.219903621996316</v>
      </c>
    </row>
    <row r="32" customFormat="false" ht="15" hidden="false" customHeight="false" outlineLevel="0" collapsed="false">
      <c r="A32" s="0" t="s">
        <v>23</v>
      </c>
      <c r="B32" s="0" t="s">
        <v>17</v>
      </c>
      <c r="C32" s="5" t="n">
        <f aca="false">C30+C25</f>
        <v>-1095635.24822857</v>
      </c>
      <c r="D32" s="5" t="n">
        <f aca="false">D30+D25</f>
        <v>-153567.765446429</v>
      </c>
      <c r="E32" s="5" t="n">
        <f aca="false">E30+E25</f>
        <v>864789.850285714</v>
      </c>
      <c r="F32" s="5" t="n">
        <f aca="false">D32/Inputs!$D$4</f>
        <v>-1182.29090342928</v>
      </c>
    </row>
    <row r="33" customFormat="false" ht="15" hidden="false" customHeight="false" outlineLevel="0" collapsed="false">
      <c r="A33" s="0" t="s">
        <v>460</v>
      </c>
      <c r="B33" s="0" t="s">
        <v>350</v>
      </c>
      <c r="C33" s="16" t="n">
        <f aca="false">1-C17/C9</f>
        <v>-0.179474600417642</v>
      </c>
      <c r="D33" s="16" t="n">
        <f aca="false">1-D17/D9</f>
        <v>0.189890150673258</v>
      </c>
      <c r="E33" s="16" t="n">
        <f aca="false">1-E17/E9</f>
        <v>0.425099219683105</v>
      </c>
    </row>
    <row r="34" customFormat="false" ht="15" hidden="false" customHeight="false" outlineLevel="0" collapsed="false">
      <c r="A34" s="3" t="s">
        <v>461</v>
      </c>
      <c r="B34" s="4"/>
      <c r="C34" s="4"/>
      <c r="D34" s="4"/>
      <c r="E34" s="4"/>
      <c r="F34" s="4"/>
      <c r="G34" s="4"/>
    </row>
    <row r="35" customFormat="false" ht="15" hidden="false" customHeight="false" outlineLevel="0" collapsed="false">
      <c r="A35" s="0" t="s">
        <v>27</v>
      </c>
      <c r="B35" s="0" t="s">
        <v>33</v>
      </c>
      <c r="C35" s="5" t="n">
        <f aca="false">C11/(Inputs!C$126*365)</f>
        <v>-43.2602739726027</v>
      </c>
      <c r="D35" s="5" t="n">
        <f aca="false">D11/(Inputs!D$126*365)</f>
        <v>84.2270058708415</v>
      </c>
      <c r="E35" s="5" t="n">
        <f aca="false">E11/(Inputs!E$126*365)</f>
        <v>282.020547945205</v>
      </c>
      <c r="F35" s="5" t="n">
        <f aca="false">D35/Inputs!$D$4</f>
        <v>0.648448732549399</v>
      </c>
    </row>
    <row r="36" customFormat="false" ht="15" hidden="false" customHeight="false" outlineLevel="0" collapsed="false">
      <c r="A36" s="0" t="s">
        <v>28</v>
      </c>
      <c r="B36" s="0" t="s">
        <v>33</v>
      </c>
      <c r="C36" s="5" t="n">
        <f aca="false">C12/(Inputs!C$127*365)</f>
        <v>26.1477016742771</v>
      </c>
      <c r="D36" s="5" t="n">
        <f aca="false">D12/(Inputs!D$127*365)</f>
        <v>217.974063926941</v>
      </c>
      <c r="E36" s="5" t="n">
        <f aca="false">E12/(Inputs!E$127*365)</f>
        <v>537.956754478398</v>
      </c>
      <c r="F36" s="5" t="n">
        <f aca="false">D36/Inputs!$D$4</f>
        <v>1.67814353627639</v>
      </c>
    </row>
    <row r="37" customFormat="false" ht="15" hidden="false" customHeight="false" outlineLevel="0" collapsed="false">
      <c r="A37" s="0" t="s">
        <v>29</v>
      </c>
      <c r="B37" s="0" t="s">
        <v>33</v>
      </c>
      <c r="C37" s="5" t="n">
        <f aca="false">C13/(Inputs!C$128*365)</f>
        <v>80.0584474885845</v>
      </c>
      <c r="D37" s="5" t="n">
        <f aca="false">D13/(Inputs!D$128*365)</f>
        <v>218.652054794521</v>
      </c>
      <c r="E37" s="5" t="n">
        <f aca="false">E13/(Inputs!E$128*365)</f>
        <v>421.798088280061</v>
      </c>
      <c r="F37" s="5" t="n">
        <f aca="false">D37/Inputs!$D$4</f>
        <v>1.68336326733791</v>
      </c>
    </row>
    <row r="38" customFormat="false" ht="15" hidden="false" customHeight="false" outlineLevel="0" collapsed="false">
      <c r="A38" s="0" t="s">
        <v>30</v>
      </c>
      <c r="B38" s="0" t="s">
        <v>33</v>
      </c>
      <c r="C38" s="5" t="n">
        <f aca="false">C14/(Inputs!C$129*365)</f>
        <v>-430.79356764514</v>
      </c>
      <c r="D38" s="5" t="n">
        <f aca="false">D14/(Inputs!D$129*365)</f>
        <v>35.7995151663401</v>
      </c>
      <c r="E38" s="5" t="n">
        <f aca="false">E14/(Inputs!E$129*365)</f>
        <v>693.321162125545</v>
      </c>
      <c r="F38" s="5" t="n">
        <f aca="false">D38/Inputs!$D$4</f>
        <v>0.275614097823852</v>
      </c>
    </row>
    <row r="39" customFormat="false" ht="15" hidden="false" customHeight="false" outlineLevel="0" collapsed="false">
      <c r="A39" s="0" t="s">
        <v>34</v>
      </c>
      <c r="B39" s="0" t="s">
        <v>33</v>
      </c>
      <c r="C39" s="5" t="n">
        <f aca="false">C15/(Inputs!C$130*365)</f>
        <v>-74.2228124126363</v>
      </c>
      <c r="D39" s="5" t="n">
        <f aca="false">D15/(Inputs!D$130*365)</f>
        <v>263.876383561644</v>
      </c>
      <c r="E39" s="5" t="n">
        <f aca="false">E15/(Inputs!E$130*365)</f>
        <v>665.215619996442</v>
      </c>
      <c r="F39" s="5" t="n">
        <f aca="false">D39/Inputs!$D$4</f>
        <v>2.03153732821344</v>
      </c>
    </row>
    <row r="40" customFormat="false" ht="15" hidden="false" customHeight="false" outlineLevel="0" collapsed="false">
      <c r="A40" s="3" t="s">
        <v>462</v>
      </c>
      <c r="B40" s="4"/>
      <c r="C40" s="4"/>
      <c r="D40" s="4"/>
      <c r="E40" s="4"/>
      <c r="F40" s="4"/>
      <c r="G40" s="4"/>
    </row>
    <row r="41" customFormat="false" ht="15" hidden="false" customHeight="false" outlineLevel="0" collapsed="false">
      <c r="A41" s="0" t="s">
        <v>463</v>
      </c>
      <c r="B41" s="0" t="s">
        <v>464</v>
      </c>
      <c r="C41" s="10" t="n">
        <f aca="false">Inputs!C$11*Inputs!C$19+(Inputs!C$12+Inputs!C$13)*Inputs!C$20+(Inputs!C$14+OtherPoultry!C49)*Inputs!C$21</f>
        <v>23</v>
      </c>
      <c r="D41" s="10" t="n">
        <f aca="false">Inputs!D$11*Inputs!D$19+(Inputs!D$12+Inputs!D$13)*Inputs!D$20+(Inputs!D$14+OtherPoultry!D49)*Inputs!D$21</f>
        <v>23</v>
      </c>
      <c r="E41" s="10" t="n">
        <f aca="false">Inputs!E$11*Inputs!E$19+(Inputs!E$12+Inputs!E$13)*Inputs!E$20+(Inputs!E$14+OtherPoultry!E49)*Inputs!E$21</f>
        <v>23</v>
      </c>
      <c r="G41" s="7" t="s">
        <v>465</v>
      </c>
    </row>
    <row r="42" customFormat="false" ht="15" hidden="false" customHeight="false" outlineLevel="0" collapsed="false">
      <c r="A42" s="0" t="s">
        <v>466</v>
      </c>
      <c r="B42" s="0" t="s">
        <v>17</v>
      </c>
      <c r="C42" s="5" t="n">
        <f aca="false">Cattle!C20+Sheep!C17+Goats!C17+Layers!C22+OtherPoultry!C48</f>
        <v>1567587.14285714</v>
      </c>
      <c r="D42" s="5" t="n">
        <f aca="false">Cattle!D20+Sheep!D17+Goats!D17+Layers!D22+OtherPoultry!D48</f>
        <v>1364582.14285714</v>
      </c>
      <c r="E42" s="5" t="n">
        <f aca="false">Cattle!E20+Sheep!E17+Goats!E17+Layers!E22+OtherPoultry!E48</f>
        <v>1243412.85714286</v>
      </c>
      <c r="F42" s="5" t="n">
        <f aca="false">D42/Inputs!$D$4</f>
        <v>10505.6751317049</v>
      </c>
    </row>
    <row r="43" customFormat="false" ht="15" hidden="false" customHeight="false" outlineLevel="0" collapsed="false">
      <c r="A43" s="0" t="s">
        <v>467</v>
      </c>
      <c r="B43" s="0" t="s">
        <v>25</v>
      </c>
      <c r="C43" s="17" t="n">
        <f aca="false">C42/C9</f>
        <v>0.726352887765318</v>
      </c>
      <c r="D43" s="17" t="n">
        <f aca="false">D42/D9</f>
        <v>0.491473570337724</v>
      </c>
      <c r="E43" s="17" t="n">
        <f aca="false">E42/E9</f>
        <v>0.348413006135281</v>
      </c>
    </row>
    <row r="44" customFormat="false" ht="15" hidden="false" customHeight="false" outlineLevel="0" collapsed="false">
      <c r="A44" s="0" t="s">
        <v>468</v>
      </c>
      <c r="B44" s="0" t="s">
        <v>17</v>
      </c>
      <c r="C44" s="5" t="n">
        <f aca="false">(C17+C19)/4</f>
        <v>770199.292057143</v>
      </c>
      <c r="D44" s="5" t="n">
        <f aca="false">(D17+D19)/4</f>
        <v>695519.878861607</v>
      </c>
      <c r="E44" s="5" t="n">
        <f aca="false">(E17+E19)/4</f>
        <v>645500.041</v>
      </c>
      <c r="F44" s="5" t="n">
        <f aca="false">D44/Inputs!$D$4</f>
        <v>5354.68380061288</v>
      </c>
    </row>
    <row r="45" customFormat="false" ht="15" hidden="false" customHeight="false" outlineLevel="0" collapsed="false">
      <c r="A45" s="0" t="s">
        <v>469</v>
      </c>
      <c r="B45" s="0" t="s">
        <v>17</v>
      </c>
      <c r="C45" s="5" t="n">
        <f aca="false">C26+Inputs!C$25+C44</f>
        <v>3179199.29205714</v>
      </c>
      <c r="D45" s="5" t="n">
        <f aca="false">D26+Inputs!D$25+D44</f>
        <v>3104519.87886161</v>
      </c>
      <c r="E45" s="5" t="n">
        <f aca="false">E26+Inputs!E$25+E44</f>
        <v>3054500.041</v>
      </c>
      <c r="F45" s="5" t="n">
        <f aca="false">D45/Inputs!$D$4</f>
        <v>23901.146191867</v>
      </c>
    </row>
    <row r="46" customFormat="false" ht="15" hidden="false" customHeight="false" outlineLevel="0" collapsed="false">
      <c r="A46" s="0" t="s">
        <v>470</v>
      </c>
      <c r="B46" s="0" t="s">
        <v>17</v>
      </c>
      <c r="C46" s="5" t="n">
        <f aca="false">Inputs!C$23*Inputs!C$24</f>
        <v>4200000</v>
      </c>
      <c r="D46" s="5" t="n">
        <f aca="false">Inputs!D$23*Inputs!D$24</f>
        <v>6000000</v>
      </c>
      <c r="E46" s="5" t="n">
        <f aca="false">Inputs!E$23*Inputs!E$24</f>
        <v>8400000</v>
      </c>
      <c r="F46" s="5" t="n">
        <f aca="false">D46/Inputs!$D$4</f>
        <v>46192.9324813304</v>
      </c>
    </row>
    <row r="47" customFormat="false" ht="15" hidden="false" customHeight="false" outlineLevel="0" collapsed="false">
      <c r="A47" s="0" t="s">
        <v>471</v>
      </c>
      <c r="B47" s="0" t="s">
        <v>17</v>
      </c>
      <c r="C47" s="5" t="n">
        <f aca="false">C46+Inputs!C$25+C26</f>
        <v>6609000</v>
      </c>
      <c r="D47" s="5" t="n">
        <f aca="false">D46+Inputs!D$25+D26</f>
        <v>8409000</v>
      </c>
      <c r="E47" s="5" t="n">
        <f aca="false">E46+Inputs!E$25+E26</f>
        <v>10809000</v>
      </c>
      <c r="F47" s="5" t="n">
        <f aca="false">D47/Inputs!$D$4</f>
        <v>64739.3948725845</v>
      </c>
    </row>
    <row r="48" customFormat="false" ht="15" hidden="false" customHeight="false" outlineLevel="0" collapsed="false">
      <c r="A48" s="0" t="s">
        <v>472</v>
      </c>
      <c r="B48" s="0" t="s">
        <v>473</v>
      </c>
      <c r="C48" s="5" t="n">
        <f aca="false">C9/Inputs!C$4</f>
        <v>16615.3046423897</v>
      </c>
      <c r="D48" s="5" t="n">
        <f aca="false">D9/Inputs!D$4</f>
        <v>21375.8699668951</v>
      </c>
      <c r="E48" s="5" t="n">
        <f aca="false">E9/Inputs!E$4</f>
        <v>27475.4793616577</v>
      </c>
    </row>
    <row r="49" customFormat="false" ht="15" hidden="false" customHeight="false" outlineLevel="0" collapsed="false">
      <c r="A49" s="0" t="s">
        <v>474</v>
      </c>
      <c r="B49" s="0" t="s">
        <v>105</v>
      </c>
      <c r="C49" s="5" t="n">
        <f aca="false">C9/Inputs!C$23</f>
        <v>179846.826666667</v>
      </c>
      <c r="D49" s="5" t="n">
        <f aca="false">D9/Inputs!D$23</f>
        <v>231375.979166667</v>
      </c>
      <c r="E49" s="5" t="n">
        <f aca="false">E9/Inputs!E$23</f>
        <v>297399.167857143</v>
      </c>
      <c r="F49" s="5" t="n">
        <f aca="false">D49/Inputs!$D$4</f>
        <v>1781.32249724126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475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customFormat="false" ht="15" hidden="false" customHeight="false" outlineLevel="0" collapsed="false">
      <c r="A3" s="3" t="s">
        <v>476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0" t="s">
        <v>22</v>
      </c>
      <c r="B4" s="0" t="s">
        <v>17</v>
      </c>
      <c r="C4" s="5" t="n">
        <f aca="false">Farm_PnL!C30</f>
        <v>-1175635.24822857</v>
      </c>
      <c r="D4" s="5" t="n">
        <f aca="false">Farm_PnL!D30</f>
        <v>-233567.765446429</v>
      </c>
      <c r="E4" s="5" t="n">
        <f aca="false">Farm_PnL!E30</f>
        <v>784789.850285714</v>
      </c>
      <c r="F4" s="5" t="n">
        <f aca="false">D4/Inputs!$D$4</f>
        <v>-1798.19666984701</v>
      </c>
    </row>
    <row r="5" customFormat="false" ht="15" hidden="false" customHeight="false" outlineLevel="0" collapsed="false">
      <c r="A5" s="0" t="s">
        <v>16</v>
      </c>
      <c r="B5" s="0" t="s">
        <v>17</v>
      </c>
      <c r="C5" s="5" t="n">
        <f aca="false">Farm_PnL!C9</f>
        <v>2158161.92</v>
      </c>
      <c r="D5" s="5" t="n">
        <f aca="false">Farm_PnL!D9</f>
        <v>2776511.75</v>
      </c>
      <c r="E5" s="5" t="n">
        <f aca="false">Farm_PnL!E9</f>
        <v>3568790.01428571</v>
      </c>
      <c r="F5" s="5" t="n">
        <f aca="false">D5/Inputs!$D$4</f>
        <v>21375.8699668951</v>
      </c>
    </row>
    <row r="6" customFormat="false" ht="15" hidden="false" customHeight="false" outlineLevel="0" collapsed="false">
      <c r="A6" s="0" t="s">
        <v>477</v>
      </c>
      <c r="B6" s="0" t="s">
        <v>17</v>
      </c>
      <c r="C6" s="5" t="n">
        <f aca="false">Farm_PnL!C45</f>
        <v>3179199.29205714</v>
      </c>
      <c r="D6" s="5" t="n">
        <f aca="false">Farm_PnL!D45</f>
        <v>3104519.87886161</v>
      </c>
      <c r="E6" s="5" t="n">
        <f aca="false">Farm_PnL!E45</f>
        <v>3054500.041</v>
      </c>
      <c r="F6" s="5" t="n">
        <f aca="false">D6/Inputs!$D$4</f>
        <v>23901.146191867</v>
      </c>
    </row>
    <row r="7" customFormat="false" ht="15" hidden="false" customHeight="false" outlineLevel="0" collapsed="false">
      <c r="A7" s="0" t="s">
        <v>478</v>
      </c>
      <c r="B7" s="0" t="s">
        <v>17</v>
      </c>
      <c r="C7" s="5" t="n">
        <f aca="false">Inputs!C$6*Farm_PnL!C46</f>
        <v>0</v>
      </c>
      <c r="D7" s="5" t="n">
        <f aca="false">Inputs!D$6*Farm_PnL!D46</f>
        <v>60000</v>
      </c>
      <c r="E7" s="5" t="n">
        <f aca="false">Inputs!E$6*Farm_PnL!E46</f>
        <v>168000</v>
      </c>
      <c r="F7" s="5" t="n">
        <f aca="false">D7/Inputs!$D$4</f>
        <v>461.929324813304</v>
      </c>
    </row>
    <row r="8" customFormat="false" ht="15" hidden="false" customHeight="false" outlineLevel="0" collapsed="false">
      <c r="A8" s="0" t="s">
        <v>479</v>
      </c>
      <c r="B8" s="0" t="s">
        <v>17</v>
      </c>
      <c r="C8" s="5" t="n">
        <f aca="false">Inputs!C$7*Farm_PnL!C45</f>
        <v>158959.964602857</v>
      </c>
      <c r="D8" s="5" t="n">
        <f aca="false">Inputs!D$7*Farm_PnL!D45</f>
        <v>124180.795154464</v>
      </c>
      <c r="E8" s="5" t="n">
        <f aca="false">Inputs!E$7*Farm_PnL!E45</f>
        <v>91635.00123</v>
      </c>
      <c r="F8" s="5" t="n">
        <f aca="false">D8/Inputs!$D$4</f>
        <v>956.045847674681</v>
      </c>
    </row>
    <row r="9" customFormat="false" ht="15" hidden="false" customHeight="false" outlineLevel="0" collapsed="false">
      <c r="A9" s="3" t="s">
        <v>480</v>
      </c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0" t="s">
        <v>481</v>
      </c>
      <c r="B10" s="0" t="s">
        <v>283</v>
      </c>
      <c r="C10" s="5" t="n">
        <f aca="false">Inputs!C$139</f>
        <v>450</v>
      </c>
      <c r="D10" s="5" t="n">
        <f aca="false">Inputs!D$139</f>
        <v>390</v>
      </c>
      <c r="E10" s="5" t="n">
        <f aca="false">Inputs!E$139</f>
        <v>330</v>
      </c>
    </row>
    <row r="11" customFormat="false" ht="15" hidden="false" customHeight="false" outlineLevel="0" collapsed="false">
      <c r="A11" s="0" t="s">
        <v>482</v>
      </c>
      <c r="B11" s="0" t="s">
        <v>17</v>
      </c>
      <c r="C11" s="5" t="n">
        <f aca="false">Overhead!$C$17</f>
        <v>994000</v>
      </c>
      <c r="D11" s="5" t="n">
        <f aca="false">Overhead!$C$17</f>
        <v>994000</v>
      </c>
      <c r="E11" s="5" t="n">
        <f aca="false">Overhead!$C$17</f>
        <v>994000</v>
      </c>
      <c r="F11" s="5" t="n">
        <f aca="false">D11/Inputs!$D$4</f>
        <v>7652.6291477404</v>
      </c>
    </row>
    <row r="12" customFormat="false" ht="15" hidden="false" customHeight="false" outlineLevel="0" collapsed="false">
      <c r="A12" s="0" t="s">
        <v>483</v>
      </c>
      <c r="B12" s="0" t="s">
        <v>17</v>
      </c>
      <c r="C12" s="5" t="n">
        <f aca="false">Overhead!$C$24</f>
        <v>660000</v>
      </c>
      <c r="D12" s="5" t="n">
        <f aca="false">Overhead!$C$24</f>
        <v>660000</v>
      </c>
      <c r="E12" s="5" t="n">
        <f aca="false">Overhead!$C$24</f>
        <v>660000</v>
      </c>
      <c r="F12" s="5" t="n">
        <f aca="false">D12/Inputs!$D$4</f>
        <v>5081.22257294634</v>
      </c>
    </row>
    <row r="13" customFormat="false" ht="15" hidden="false" customHeight="false" outlineLevel="0" collapsed="false">
      <c r="A13" s="0" t="s">
        <v>484</v>
      </c>
      <c r="B13" s="0" t="s">
        <v>17</v>
      </c>
      <c r="C13" s="5" t="n">
        <f aca="false">Inputs!C$145/Inputs!C$147</f>
        <v>112500</v>
      </c>
      <c r="D13" s="5" t="n">
        <f aca="false">Inputs!D$145/Inputs!D$147</f>
        <v>112500</v>
      </c>
      <c r="E13" s="5" t="n">
        <f aca="false">Inputs!E$145/Inputs!E$147</f>
        <v>112500</v>
      </c>
      <c r="F13" s="5" t="n">
        <f aca="false">D13/Inputs!$D$4</f>
        <v>866.117484024944</v>
      </c>
    </row>
    <row r="14" customFormat="false" ht="15" hidden="false" customHeight="false" outlineLevel="0" collapsed="false">
      <c r="A14" s="6" t="s">
        <v>485</v>
      </c>
      <c r="B14" s="7" t="s">
        <v>17</v>
      </c>
      <c r="C14" s="8" t="n">
        <f aca="false">C4-C11-C12-C10*Inputs!C$8-C13-C8+C7</f>
        <v>-3281095.21283143</v>
      </c>
      <c r="D14" s="8" t="n">
        <f aca="false">D4-D11-D12-D10*Inputs!D$8-D13-D8+D7</f>
        <v>-2181248.56060089</v>
      </c>
      <c r="E14" s="8" t="n">
        <f aca="false">E4-E11-E12-E10*Inputs!E$8-E13-E8+E7</f>
        <v>-987845.150944286</v>
      </c>
      <c r="F14" s="5" t="n">
        <f aca="false">D14/Inputs!$D$4</f>
        <v>-16793.044580806</v>
      </c>
    </row>
    <row r="15" customFormat="false" ht="15" hidden="false" customHeight="false" outlineLevel="0" collapsed="false">
      <c r="A15" s="3" t="s">
        <v>486</v>
      </c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0" t="s">
        <v>481</v>
      </c>
      <c r="B16" s="0" t="s">
        <v>283</v>
      </c>
      <c r="C16" s="5" t="n">
        <f aca="false">Inputs!C$140*52+Inputs!C$141*Inputs!C$142+Inputs!C$143*52</f>
        <v>712</v>
      </c>
      <c r="D16" s="5" t="n">
        <f aca="false">Inputs!D$140*52+Inputs!D$141*Inputs!D$142+Inputs!D$143*52</f>
        <v>460</v>
      </c>
      <c r="E16" s="5" t="n">
        <f aca="false">Inputs!E$140*52+Inputs!E$141*Inputs!E$142+Inputs!E$143*52</f>
        <v>298</v>
      </c>
    </row>
    <row r="17" customFormat="false" ht="15" hidden="false" customHeight="false" outlineLevel="0" collapsed="false">
      <c r="A17" s="0" t="s">
        <v>487</v>
      </c>
      <c r="B17" s="0" t="s">
        <v>17</v>
      </c>
      <c r="C17" s="5" t="n">
        <f aca="false">Overhead!$D$17</f>
        <v>188000</v>
      </c>
      <c r="D17" s="5" t="n">
        <f aca="false">Overhead!$D$17</f>
        <v>188000</v>
      </c>
      <c r="E17" s="5" t="n">
        <f aca="false">Overhead!$D$17</f>
        <v>188000</v>
      </c>
      <c r="F17" s="5" t="n">
        <f aca="false">D17/Inputs!$D$4</f>
        <v>1447.37855108168</v>
      </c>
    </row>
    <row r="18" customFormat="false" ht="15" hidden="false" customHeight="false" outlineLevel="0" collapsed="false">
      <c r="A18" s="0" t="s">
        <v>488</v>
      </c>
      <c r="B18" s="0" t="s">
        <v>17</v>
      </c>
      <c r="C18" s="5" t="n">
        <f aca="false">Overhead!$D$24</f>
        <v>72000</v>
      </c>
      <c r="D18" s="5" t="n">
        <f aca="false">Overhead!$D$24</f>
        <v>72000</v>
      </c>
      <c r="E18" s="5" t="n">
        <f aca="false">Overhead!$D$24</f>
        <v>72000</v>
      </c>
      <c r="F18" s="5" t="n">
        <f aca="false">D18/Inputs!$D$4</f>
        <v>554.315189775964</v>
      </c>
    </row>
    <row r="19" customFormat="false" ht="15" hidden="false" customHeight="false" outlineLevel="0" collapsed="false">
      <c r="A19" s="0" t="s">
        <v>484</v>
      </c>
      <c r="B19" s="0" t="s">
        <v>17</v>
      </c>
      <c r="C19" s="5" t="n">
        <f aca="false">Inputs!C$146/Inputs!C$147</f>
        <v>15000</v>
      </c>
      <c r="D19" s="5" t="n">
        <f aca="false">Inputs!D$146/Inputs!D$147</f>
        <v>15000</v>
      </c>
      <c r="E19" s="5" t="n">
        <f aca="false">Inputs!E$146/Inputs!E$147</f>
        <v>15000</v>
      </c>
      <c r="F19" s="5" t="n">
        <f aca="false">D19/Inputs!$D$4</f>
        <v>115.482331203326</v>
      </c>
    </row>
    <row r="20" customFormat="false" ht="15" hidden="false" customHeight="false" outlineLevel="0" collapsed="false">
      <c r="A20" s="6" t="s">
        <v>489</v>
      </c>
      <c r="B20" s="7" t="s">
        <v>17</v>
      </c>
      <c r="C20" s="8" t="n">
        <f aca="false">C4-C17-C18-C16*Inputs!C$8-C19-C8+C7</f>
        <v>-1894395.21283143</v>
      </c>
      <c r="D20" s="8" t="n">
        <f aca="false">D4-D17-D18-D16*Inputs!D$8-D19-D8+D7</f>
        <v>-710748.560600893</v>
      </c>
      <c r="E20" s="8" t="n">
        <f aca="false">E4-E17-E18-E16*Inputs!E$8-E19-E8+E7</f>
        <v>511654.849055714</v>
      </c>
      <c r="F20" s="5" t="n">
        <f aca="false">D20/Inputs!$D$4</f>
        <v>-5471.92671183997</v>
      </c>
    </row>
    <row r="21" customFormat="false" ht="15" hidden="false" customHeight="false" outlineLevel="0" collapsed="false">
      <c r="A21" s="3" t="s">
        <v>490</v>
      </c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0" t="s">
        <v>491</v>
      </c>
      <c r="B22" s="0" t="s">
        <v>17</v>
      </c>
      <c r="C22" s="5" t="n">
        <f aca="false">Inputs!C$23*Inputs!C$150</f>
        <v>72000</v>
      </c>
      <c r="D22" s="5" t="n">
        <f aca="false">Inputs!D$23*Inputs!D$150</f>
        <v>96000</v>
      </c>
      <c r="E22" s="5" t="n">
        <f aca="false">Inputs!E$23*Inputs!E$150</f>
        <v>120000</v>
      </c>
      <c r="F22" s="5" t="n">
        <f aca="false">D22/Inputs!$D$4</f>
        <v>739.086919701286</v>
      </c>
    </row>
    <row r="23" customFormat="false" ht="15" hidden="false" customHeight="false" outlineLevel="0" collapsed="false">
      <c r="A23" s="0" t="s">
        <v>492</v>
      </c>
      <c r="B23" s="0" t="s">
        <v>17</v>
      </c>
      <c r="C23" s="5" t="n">
        <f aca="false">Farm_PnL!C26*(1-Inputs!C$9)</f>
        <v>1528550</v>
      </c>
      <c r="D23" s="5" t="n">
        <f aca="false">Farm_PnL!D26*(1-Inputs!D$9)</f>
        <v>1528550</v>
      </c>
      <c r="E23" s="5" t="n">
        <f aca="false">Farm_PnL!E26*(1-Inputs!E$9)</f>
        <v>1528550</v>
      </c>
      <c r="F23" s="5" t="n">
        <f aca="false">D23/Inputs!$D$4</f>
        <v>11768.0344907229</v>
      </c>
    </row>
    <row r="24" customFormat="false" ht="15" hidden="false" customHeight="false" outlineLevel="0" collapsed="false">
      <c r="A24" s="0" t="s">
        <v>493</v>
      </c>
      <c r="B24" s="0" t="s">
        <v>17</v>
      </c>
      <c r="C24" s="5" t="n">
        <f aca="false">C23*Inputs!C$5</f>
        <v>30571</v>
      </c>
      <c r="D24" s="5" t="n">
        <f aca="false">D23*Inputs!D$5</f>
        <v>30571</v>
      </c>
      <c r="E24" s="5" t="n">
        <f aca="false">E23*Inputs!E$5</f>
        <v>30571</v>
      </c>
      <c r="F24" s="5" t="n">
        <f aca="false">D24/Inputs!$D$4</f>
        <v>235.360689814458</v>
      </c>
    </row>
    <row r="25" customFormat="false" ht="15" hidden="false" customHeight="false" outlineLevel="0" collapsed="false">
      <c r="A25" s="0" t="s">
        <v>481</v>
      </c>
      <c r="B25" s="0" t="s">
        <v>283</v>
      </c>
      <c r="C25" s="5" t="n">
        <f aca="false">Inputs!C$144</f>
        <v>40</v>
      </c>
      <c r="D25" s="5" t="n">
        <f aca="false">Inputs!D$144</f>
        <v>30</v>
      </c>
      <c r="E25" s="5" t="n">
        <f aca="false">Inputs!E$144</f>
        <v>20</v>
      </c>
    </row>
    <row r="26" customFormat="false" ht="15" hidden="false" customHeight="false" outlineLevel="0" collapsed="false">
      <c r="A26" s="0" t="s">
        <v>494</v>
      </c>
      <c r="B26" s="0" t="s">
        <v>17</v>
      </c>
      <c r="C26" s="5" t="n">
        <f aca="false">(Inputs!C$148+Farm_PnL!C26*Inputs!C$9+Labour!C15*Inputs!C$149)/Inputs!C$147</f>
        <v>55112.5</v>
      </c>
      <c r="D26" s="5" t="n">
        <f aca="false">(Inputs!D$148+Farm_PnL!D26*Inputs!D$9+Labour!D15*Inputs!D$149)/Inputs!D$147</f>
        <v>55112.5</v>
      </c>
      <c r="E26" s="5" t="n">
        <f aca="false">(Inputs!E$148+Farm_PnL!E26*Inputs!E$9+Labour!E15*Inputs!E$149)/Inputs!E$147</f>
        <v>55112.5</v>
      </c>
      <c r="F26" s="5" t="n">
        <f aca="false">D26/Inputs!$D$4</f>
        <v>424.30133189622</v>
      </c>
    </row>
    <row r="27" customFormat="false" ht="15" hidden="false" customHeight="false" outlineLevel="0" collapsed="false">
      <c r="A27" s="6" t="s">
        <v>495</v>
      </c>
      <c r="B27" s="7" t="s">
        <v>17</v>
      </c>
      <c r="C27" s="8" t="n">
        <f aca="false">C22+C24-Inputs!C$151-C25*Inputs!C$8-C26+C7</f>
        <v>11458.5</v>
      </c>
      <c r="D27" s="8" t="n">
        <f aca="false">D22+D24-Inputs!D$151-D25*Inputs!D$8-D26+D7</f>
        <v>102458.5</v>
      </c>
      <c r="E27" s="8" t="n">
        <f aca="false">E22+E24-Inputs!E$151-E25*Inputs!E$8-E26+E7</f>
        <v>238458.5</v>
      </c>
      <c r="F27" s="5" t="n">
        <f aca="false">D27/Inputs!$D$4</f>
        <v>788.809762106398</v>
      </c>
    </row>
    <row r="28" customFormat="false" ht="15" hidden="false" customHeight="false" outlineLevel="0" collapsed="false">
      <c r="A28" s="3" t="s">
        <v>496</v>
      </c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0" t="s">
        <v>497</v>
      </c>
      <c r="B29" s="0" t="s">
        <v>17</v>
      </c>
      <c r="C29" s="5" t="n">
        <f aca="false">(Farm_PnL!C47)*(1-Inputs!C$9)</f>
        <v>6278550</v>
      </c>
      <c r="D29" s="5" t="n">
        <f aca="false">(Farm_PnL!D47)*(1-Inputs!D$9)</f>
        <v>7988550</v>
      </c>
      <c r="E29" s="5" t="n">
        <f aca="false">(Farm_PnL!E47)*(1-Inputs!E$9)</f>
        <v>10268550</v>
      </c>
      <c r="F29" s="5" t="n">
        <f aca="false">D29/Inputs!$D$4</f>
        <v>61502.4251289553</v>
      </c>
    </row>
    <row r="30" customFormat="false" ht="15" hidden="false" customHeight="false" outlineLevel="0" collapsed="false">
      <c r="A30" s="6" t="s">
        <v>498</v>
      </c>
      <c r="B30" s="7" t="s">
        <v>17</v>
      </c>
      <c r="C30" s="8" t="n">
        <f aca="false">C29*Inputs!C$5</f>
        <v>125571</v>
      </c>
      <c r="D30" s="8" t="n">
        <f aca="false">D29*Inputs!D$5</f>
        <v>159771</v>
      </c>
      <c r="E30" s="8" t="n">
        <f aca="false">E29*Inputs!E$5</f>
        <v>205371</v>
      </c>
      <c r="F30" s="5" t="n">
        <f aca="false">D30/Inputs!$D$4</f>
        <v>1230.04850257911</v>
      </c>
      <c r="G30" s="7" t="s">
        <v>499</v>
      </c>
    </row>
    <row r="31" customFormat="false" ht="15" hidden="false" customHeight="false" outlineLevel="0" collapsed="false">
      <c r="A31" s="3" t="s">
        <v>500</v>
      </c>
      <c r="B31" s="4"/>
      <c r="C31" s="4"/>
      <c r="D31" s="4"/>
      <c r="E31" s="4"/>
      <c r="F31" s="4"/>
      <c r="G31" s="4"/>
    </row>
    <row r="32" customFormat="false" ht="15" hidden="false" customHeight="false" outlineLevel="0" collapsed="false">
      <c r="A32" s="0" t="s">
        <v>501</v>
      </c>
      <c r="B32" s="0" t="s">
        <v>17</v>
      </c>
      <c r="C32" s="5" t="n">
        <f aca="false">C4-0.2*C5</f>
        <v>-1607267.63222857</v>
      </c>
      <c r="D32" s="5" t="n">
        <f aca="false">D4-0.2*D5</f>
        <v>-788870.115446429</v>
      </c>
      <c r="E32" s="5" t="n">
        <f aca="false">E4-0.2*E5</f>
        <v>71031.8474285711</v>
      </c>
      <c r="F32" s="5" t="n">
        <f aca="false">D32/Inputs!$D$4</f>
        <v>-6073.37066322603</v>
      </c>
    </row>
    <row r="33" customFormat="false" ht="15" hidden="false" customHeight="false" outlineLevel="0" collapsed="false">
      <c r="A33" s="0" t="s">
        <v>502</v>
      </c>
      <c r="B33" s="0" t="s">
        <v>17</v>
      </c>
      <c r="C33" s="5" t="n">
        <f aca="false">C4-0.25*Farm_PnL!C17</f>
        <v>-1812009.54028571</v>
      </c>
      <c r="D33" s="5" t="n">
        <f aca="false">D4-0.25*Farm_PnL!D17</f>
        <v>-795887.644308036</v>
      </c>
      <c r="E33" s="5" t="n">
        <f aca="false">E4-0.25*Farm_PnL!E17</f>
        <v>271864.809285714</v>
      </c>
      <c r="F33" s="5" t="n">
        <f aca="false">D33/Inputs!$D$4</f>
        <v>-6127.39736937436</v>
      </c>
    </row>
    <row r="34" customFormat="false" ht="15" hidden="false" customHeight="false" outlineLevel="0" collapsed="false">
      <c r="A34" s="0" t="s">
        <v>503</v>
      </c>
      <c r="B34" s="0" t="s">
        <v>17</v>
      </c>
      <c r="C34" s="5" t="n">
        <f aca="false">C4-0.1*C5-0.1*Farm_PnL!C26</f>
        <v>-1552351.44022857</v>
      </c>
      <c r="D34" s="5" t="n">
        <f aca="false">D4-0.1*D5-0.1*Farm_PnL!D26</f>
        <v>-672118.940446429</v>
      </c>
      <c r="E34" s="5" t="n">
        <f aca="false">E4-0.1*E5-0.1*Farm_PnL!E26</f>
        <v>267010.848857143</v>
      </c>
      <c r="F34" s="5" t="n">
        <f aca="false">D34/Inputs!$D$4</f>
        <v>-5174.5241392442</v>
      </c>
    </row>
    <row r="35" customFormat="false" ht="15" hidden="false" customHeight="false" outlineLevel="0" collapsed="false">
      <c r="A35" s="0" t="s">
        <v>504</v>
      </c>
      <c r="B35" s="0" t="s">
        <v>17</v>
      </c>
      <c r="C35" s="5" t="n">
        <f aca="false">MIN(C32,C33,C34)</f>
        <v>-1812009.54028571</v>
      </c>
      <c r="D35" s="5" t="n">
        <f aca="false">MIN(D32,D33,D34)</f>
        <v>-795887.644308036</v>
      </c>
      <c r="E35" s="5" t="n">
        <f aca="false">MIN(E32,E33,E34)</f>
        <v>71031.8474285711</v>
      </c>
      <c r="F35" s="5" t="n">
        <f aca="false">D35/Inputs!$D$4</f>
        <v>-6127.39736937436</v>
      </c>
    </row>
    <row r="36" customFormat="false" ht="15" hidden="false" customHeight="false" outlineLevel="0" collapsed="false">
      <c r="A36" s="0" t="s">
        <v>505</v>
      </c>
      <c r="B36" s="0" t="s">
        <v>17</v>
      </c>
      <c r="C36" s="5" t="n">
        <f aca="false">-0.1*C6</f>
        <v>-317919.929205714</v>
      </c>
      <c r="D36" s="5" t="n">
        <f aca="false">-0.1*D6</f>
        <v>-310451.987886161</v>
      </c>
      <c r="E36" s="5" t="n">
        <f aca="false">-0.1*E6</f>
        <v>-305450.0041</v>
      </c>
      <c r="F36" s="5" t="n">
        <f aca="false">D36/Inputs!$D$4</f>
        <v>-2390.1146191867</v>
      </c>
    </row>
    <row r="37" customFormat="false" ht="15" hidden="false" customHeight="false" outlineLevel="0" collapsed="false">
      <c r="A37" s="0" t="s">
        <v>506</v>
      </c>
      <c r="B37" s="0" t="s">
        <v>17</v>
      </c>
      <c r="C37" s="5" t="n">
        <f aca="false">C35-C11-C12</f>
        <v>-3466009.54028571</v>
      </c>
      <c r="D37" s="5" t="n">
        <f aca="false">D35-D11-D12</f>
        <v>-2449887.64430804</v>
      </c>
      <c r="E37" s="5" t="n">
        <f aca="false">E35-E11-E12</f>
        <v>-1582968.15257143</v>
      </c>
      <c r="F37" s="5" t="n">
        <f aca="false">D37/Inputs!$D$4</f>
        <v>-18861.2490900611</v>
      </c>
    </row>
    <row r="38" customFormat="false" ht="15" hidden="false" customHeight="false" outlineLevel="0" collapsed="false">
      <c r="A38" s="0" t="s">
        <v>507</v>
      </c>
      <c r="B38" s="0" t="s">
        <v>17</v>
      </c>
      <c r="C38" s="5" t="n">
        <f aca="false">C35-C17-C18</f>
        <v>-2072009.54028571</v>
      </c>
      <c r="D38" s="5" t="n">
        <f aca="false">D35-D17-D18</f>
        <v>-1055887.64430804</v>
      </c>
      <c r="E38" s="5" t="n">
        <f aca="false">E35-E17-E18</f>
        <v>-188968.152571429</v>
      </c>
      <c r="F38" s="5" t="n">
        <f aca="false">D38/Inputs!$D$4</f>
        <v>-8129.09111023201</v>
      </c>
    </row>
    <row r="39" customFormat="false" ht="15" hidden="false" customHeight="false" outlineLevel="0" collapsed="false">
      <c r="A39" s="0" t="s">
        <v>508</v>
      </c>
      <c r="B39" s="0" t="s">
        <v>312</v>
      </c>
      <c r="C39" s="18" t="n">
        <f aca="false">IF(C37&gt;=C36,1,0)</f>
        <v>0</v>
      </c>
      <c r="D39" s="18" t="n">
        <f aca="false">IF(D37&gt;=D36,1,0)</f>
        <v>0</v>
      </c>
      <c r="E39" s="18" t="n">
        <f aca="false">IF(E37&gt;=E36,1,0)</f>
        <v>0</v>
      </c>
    </row>
    <row r="40" customFormat="false" ht="15" hidden="false" customHeight="false" outlineLevel="0" collapsed="false">
      <c r="A40" s="0" t="s">
        <v>509</v>
      </c>
      <c r="B40" s="0" t="s">
        <v>312</v>
      </c>
      <c r="C40" s="18" t="n">
        <f aca="false">IF(C38&gt;=C36,1,0)</f>
        <v>0</v>
      </c>
      <c r="D40" s="18" t="n">
        <f aca="false">IF(D38&gt;=D36,1,0)</f>
        <v>0</v>
      </c>
      <c r="E40" s="18" t="n">
        <f aca="false">IF(E38&gt;=E36,1,0)</f>
        <v>1</v>
      </c>
    </row>
    <row r="41" customFormat="false" ht="15" hidden="false" customHeight="false" outlineLevel="0" collapsed="false">
      <c r="A41" s="3" t="s">
        <v>510</v>
      </c>
      <c r="B41" s="4"/>
      <c r="C41" s="4"/>
      <c r="D41" s="4"/>
      <c r="E41" s="4"/>
      <c r="F41" s="4"/>
      <c r="G41" s="4"/>
    </row>
    <row r="42" customFormat="false" ht="15" hidden="false" customHeight="false" outlineLevel="0" collapsed="false">
      <c r="A42" s="0" t="s">
        <v>511</v>
      </c>
      <c r="B42" s="0" t="s">
        <v>312</v>
      </c>
      <c r="C42" s="18" t="n">
        <f aca="false">IF(AND(C14&gt;0,C39=1),1,0)</f>
        <v>0</v>
      </c>
      <c r="D42" s="18" t="n">
        <f aca="false">IF(AND(D14&gt;0,D39=1),1,0)</f>
        <v>0</v>
      </c>
      <c r="E42" s="18" t="n">
        <f aca="false">IF(AND(E14&gt;0,E39=1),1,0)</f>
        <v>0</v>
      </c>
    </row>
    <row r="43" customFormat="false" ht="15" hidden="false" customHeight="false" outlineLevel="0" collapsed="false">
      <c r="A43" s="0" t="s">
        <v>512</v>
      </c>
      <c r="B43" s="0" t="s">
        <v>312</v>
      </c>
      <c r="C43" s="18" t="n">
        <f aca="false">IF(AND(C20&gt;0,C40=1),1,0)</f>
        <v>0</v>
      </c>
      <c r="D43" s="18" t="n">
        <f aca="false">IF(AND(D20&gt;0,D40=1),1,0)</f>
        <v>0</v>
      </c>
      <c r="E43" s="18" t="n">
        <f aca="false">IF(AND(E20&gt;0,E40=1),1,0)</f>
        <v>1</v>
      </c>
    </row>
    <row r="44" customFormat="false" ht="15" hidden="false" customHeight="false" outlineLevel="0" collapsed="false">
      <c r="A44" s="0" t="s">
        <v>513</v>
      </c>
      <c r="B44" s="0" t="s">
        <v>312</v>
      </c>
      <c r="C44" s="18" t="n">
        <f aca="false">IF(C27&gt;0,1,0)</f>
        <v>1</v>
      </c>
      <c r="D44" s="18" t="n">
        <f aca="false">IF(D27&gt;0,1,0)</f>
        <v>1</v>
      </c>
      <c r="E44" s="18" t="n">
        <f aca="false">IF(E27&gt;0,1,0)</f>
        <v>1</v>
      </c>
    </row>
    <row r="45" customFormat="false" ht="15" hidden="false" customHeight="false" outlineLevel="0" collapsed="false">
      <c r="A45" s="0" t="s">
        <v>514</v>
      </c>
      <c r="B45" s="0" t="s">
        <v>312</v>
      </c>
      <c r="C45" s="18" t="n">
        <f aca="false">IF(C30&gt;0,1,0)</f>
        <v>1</v>
      </c>
      <c r="D45" s="18" t="n">
        <f aca="false">IF(D30&gt;0,1,0)</f>
        <v>1</v>
      </c>
      <c r="E45" s="18" t="n">
        <f aca="false">IF(E30&gt;0,1,0)</f>
        <v>1</v>
      </c>
    </row>
    <row r="46" customFormat="false" ht="15" hidden="false" customHeight="false" outlineLevel="0" collapsed="false">
      <c r="A46" s="0" t="s">
        <v>515</v>
      </c>
      <c r="B46" s="0" t="s">
        <v>17</v>
      </c>
      <c r="C46" s="5" t="n">
        <f aca="false">IF(C42=1,C14,-1000000000000)</f>
        <v>-1000000000000</v>
      </c>
      <c r="D46" s="5" t="n">
        <f aca="false">IF(D42=1,D14,-1000000000000)</f>
        <v>-1000000000000</v>
      </c>
      <c r="E46" s="5" t="n">
        <f aca="false">IF(E42=1,E14,-1000000000000)</f>
        <v>-1000000000000</v>
      </c>
    </row>
    <row r="47" customFormat="false" ht="15" hidden="false" customHeight="false" outlineLevel="0" collapsed="false">
      <c r="A47" s="0" t="s">
        <v>516</v>
      </c>
      <c r="B47" s="0" t="s">
        <v>17</v>
      </c>
      <c r="C47" s="5" t="n">
        <f aca="false">IF(C43=1,C20,-1000000000000)</f>
        <v>-1000000000000</v>
      </c>
      <c r="D47" s="5" t="n">
        <f aca="false">IF(D43=1,D20,-1000000000000)</f>
        <v>-1000000000000</v>
      </c>
      <c r="E47" s="5" t="n">
        <f aca="false">IF(E43=1,E20,-1000000000000)</f>
        <v>511654.849055714</v>
      </c>
    </row>
    <row r="48" customFormat="false" ht="15" hidden="false" customHeight="false" outlineLevel="0" collapsed="false">
      <c r="A48" s="0" t="s">
        <v>517</v>
      </c>
      <c r="B48" s="0" t="s">
        <v>17</v>
      </c>
      <c r="C48" s="5" t="n">
        <f aca="false">IF(C44=1,C27,-1000000000000)</f>
        <v>11458.5</v>
      </c>
      <c r="D48" s="5" t="n">
        <f aca="false">IF(D44=1,D27,-1000000000000)</f>
        <v>102458.5</v>
      </c>
      <c r="E48" s="5" t="n">
        <f aca="false">IF(E44=1,E27,-1000000000000)</f>
        <v>238458.5</v>
      </c>
    </row>
    <row r="49" customFormat="false" ht="15" hidden="false" customHeight="false" outlineLevel="0" collapsed="false">
      <c r="A49" s="0" t="s">
        <v>518</v>
      </c>
      <c r="B49" s="0" t="s">
        <v>17</v>
      </c>
      <c r="C49" s="5" t="n">
        <f aca="false">IF(C45=1,C30,-1000000000000)</f>
        <v>125571</v>
      </c>
      <c r="D49" s="5" t="n">
        <f aca="false">IF(D45=1,D30,-1000000000000)</f>
        <v>159771</v>
      </c>
      <c r="E49" s="5" t="n">
        <f aca="false">IF(E45=1,E30,-1000000000000)</f>
        <v>205371</v>
      </c>
    </row>
    <row r="50" customFormat="false" ht="15" hidden="false" customHeight="false" outlineLevel="0" collapsed="false">
      <c r="A50" s="0" t="s">
        <v>519</v>
      </c>
      <c r="B50" s="0" t="s">
        <v>520</v>
      </c>
      <c r="C50" s="18" t="n">
        <f aca="false">RANK(C46,C46:C49)</f>
        <v>3</v>
      </c>
      <c r="D50" s="18" t="n">
        <f aca="false">RANK(D46,D46:D49)</f>
        <v>3</v>
      </c>
      <c r="E50" s="18" t="n">
        <f aca="false">RANK(E46,E46:E49)</f>
        <v>4</v>
      </c>
    </row>
    <row r="51" customFormat="false" ht="15" hidden="false" customHeight="false" outlineLevel="0" collapsed="false">
      <c r="A51" s="0" t="s">
        <v>521</v>
      </c>
      <c r="B51" s="0" t="s">
        <v>520</v>
      </c>
      <c r="C51" s="18" t="n">
        <f aca="false">RANK(C47,C46:C49)</f>
        <v>3</v>
      </c>
      <c r="D51" s="18" t="n">
        <f aca="false">RANK(D47,D46:D49)</f>
        <v>3</v>
      </c>
      <c r="E51" s="18" t="n">
        <f aca="false">RANK(E47,E46:E49)</f>
        <v>1</v>
      </c>
    </row>
    <row r="52" customFormat="false" ht="15" hidden="false" customHeight="false" outlineLevel="0" collapsed="false">
      <c r="A52" s="0" t="s">
        <v>522</v>
      </c>
      <c r="B52" s="0" t="s">
        <v>520</v>
      </c>
      <c r="C52" s="18" t="n">
        <f aca="false">RANK(C48,C46:C49)</f>
        <v>2</v>
      </c>
      <c r="D52" s="18" t="n">
        <f aca="false">RANK(D48,D46:D49)</f>
        <v>2</v>
      </c>
      <c r="E52" s="18" t="n">
        <f aca="false">RANK(E48,E46:E49)</f>
        <v>2</v>
      </c>
    </row>
    <row r="53" customFormat="false" ht="15" hidden="false" customHeight="false" outlineLevel="0" collapsed="false">
      <c r="A53" s="0" t="s">
        <v>523</v>
      </c>
      <c r="B53" s="0" t="s">
        <v>520</v>
      </c>
      <c r="C53" s="18" t="n">
        <f aca="false">RANK(C49,C46:C49)</f>
        <v>1</v>
      </c>
      <c r="D53" s="18" t="n">
        <f aca="false">RANK(D49,D46:D49)</f>
        <v>1</v>
      </c>
      <c r="E53" s="18" t="n">
        <f aca="false">RANK(E49,E46:E49)</f>
        <v>3</v>
      </c>
    </row>
    <row r="54" customFormat="false" ht="15" hidden="false" customHeight="false" outlineLevel="0" collapsed="false">
      <c r="A54" s="0" t="s">
        <v>524</v>
      </c>
      <c r="B54" s="0" t="s">
        <v>17</v>
      </c>
      <c r="C54" s="5" t="n">
        <f aca="false">MAX(C46,C47,C48,C49)</f>
        <v>125571</v>
      </c>
      <c r="D54" s="5" t="n">
        <f aca="false">MAX(D46,D47,D48,D49)</f>
        <v>159771</v>
      </c>
      <c r="E54" s="5" t="n">
        <f aca="false">MAX(E46,E47,E48,E49)</f>
        <v>511654.849055714</v>
      </c>
    </row>
    <row r="55" customFormat="false" ht="15" hidden="false" customHeight="false" outlineLevel="0" collapsed="false">
      <c r="A55" s="6" t="s">
        <v>525</v>
      </c>
      <c r="B55" s="7" t="s">
        <v>526</v>
      </c>
      <c r="C55" s="6" t="str">
        <f aca="false">IF(C54&lt;=0,"No viable option",IF(C46=C54,"Self-run (PLAN generic)",IF(C47=C54,"Owner-operator, simplified",IF(C48=C54,"Lease","Sale"))))</f>
        <v>Sale</v>
      </c>
      <c r="D55" s="6" t="str">
        <f aca="false">IF(D54&lt;=0,"No viable option",IF(D46=D54,"Self-run (PLAN generic)",IF(D47=D54,"Owner-operator, simplified",IF(D48=D54,"Lease","Sale"))))</f>
        <v>Sale</v>
      </c>
      <c r="E55" s="6" t="str">
        <f aca="false">IF(E54&lt;=0,"No viable option",IF(E46=E54,"Self-run (PLAN generic)",IF(E47=E54,"Owner-operator, simplified",IF(E48=E54,"Lease","Sale"))))</f>
        <v>Owner-operator, simplified</v>
      </c>
    </row>
    <row r="56" customFormat="false" ht="15" hidden="false" customHeight="false" outlineLevel="0" collapsed="false">
      <c r="A56" s="3" t="s">
        <v>527</v>
      </c>
      <c r="B56" s="4"/>
      <c r="C56" s="4"/>
      <c r="D56" s="4"/>
      <c r="E56" s="4"/>
      <c r="F56" s="4"/>
      <c r="G56" s="4"/>
    </row>
    <row r="57" customFormat="false" ht="15" hidden="false" customHeight="false" outlineLevel="0" collapsed="false">
      <c r="A57" s="0" t="s">
        <v>528</v>
      </c>
      <c r="B57" s="0" t="s">
        <v>312</v>
      </c>
      <c r="C57" s="18" t="n">
        <f aca="false">IF(AND(C44=1,Inputs!C$152=1),1,0)</f>
        <v>0</v>
      </c>
      <c r="D57" s="18" t="n">
        <f aca="false">IF(AND(D44=1,Inputs!D$152=1),1,0)</f>
        <v>0</v>
      </c>
      <c r="E57" s="18" t="n">
        <f aca="false">IF(AND(E44=1,Inputs!E$152=1),1,0)</f>
        <v>0</v>
      </c>
    </row>
    <row r="58" customFormat="false" ht="15" hidden="false" customHeight="false" outlineLevel="0" collapsed="false">
      <c r="A58" s="0" t="s">
        <v>529</v>
      </c>
      <c r="B58" s="0" t="s">
        <v>312</v>
      </c>
      <c r="C58" s="18" t="n">
        <f aca="false">IF(AND(C45=1,Inputs!C$152=1),1,0)</f>
        <v>0</v>
      </c>
      <c r="D58" s="18" t="n">
        <f aca="false">IF(AND(D45=1,Inputs!D$152=1),1,0)</f>
        <v>0</v>
      </c>
      <c r="E58" s="18" t="n">
        <f aca="false">IF(AND(E45=1,Inputs!E$152=1),1,0)</f>
        <v>0</v>
      </c>
    </row>
    <row r="59" customFormat="false" ht="15" hidden="false" customHeight="false" outlineLevel="0" collapsed="false">
      <c r="A59" s="0" t="s">
        <v>530</v>
      </c>
      <c r="B59" s="0" t="s">
        <v>17</v>
      </c>
      <c r="C59" s="5" t="n">
        <f aca="false">IF(C42=1,C14,-1000000000000)</f>
        <v>-1000000000000</v>
      </c>
      <c r="D59" s="5" t="n">
        <f aca="false">IF(D42=1,D14,-1000000000000)</f>
        <v>-1000000000000</v>
      </c>
      <c r="E59" s="5" t="n">
        <f aca="false">IF(E42=1,E14,-1000000000000)</f>
        <v>-1000000000000</v>
      </c>
    </row>
    <row r="60" customFormat="false" ht="15" hidden="false" customHeight="false" outlineLevel="0" collapsed="false">
      <c r="A60" s="0" t="s">
        <v>531</v>
      </c>
      <c r="B60" s="0" t="s">
        <v>17</v>
      </c>
      <c r="C60" s="5" t="n">
        <f aca="false">IF(C43=1,C20,-1000000000000)</f>
        <v>-1000000000000</v>
      </c>
      <c r="D60" s="5" t="n">
        <f aca="false">IF(D43=1,D20,-1000000000000)</f>
        <v>-1000000000000</v>
      </c>
      <c r="E60" s="5" t="n">
        <f aca="false">IF(E43=1,E20,-1000000000000)</f>
        <v>511654.849055714</v>
      </c>
    </row>
    <row r="61" customFormat="false" ht="15" hidden="false" customHeight="false" outlineLevel="0" collapsed="false">
      <c r="A61" s="0" t="s">
        <v>532</v>
      </c>
      <c r="B61" s="0" t="s">
        <v>17</v>
      </c>
      <c r="C61" s="5" t="n">
        <f aca="false">IF(C57=1,C27,-1000000000000)</f>
        <v>-1000000000000</v>
      </c>
      <c r="D61" s="5" t="n">
        <f aca="false">IF(D57=1,D27,-1000000000000)</f>
        <v>-1000000000000</v>
      </c>
      <c r="E61" s="5" t="n">
        <f aca="false">IF(E57=1,E27,-1000000000000)</f>
        <v>-1000000000000</v>
      </c>
    </row>
    <row r="62" customFormat="false" ht="15" hidden="false" customHeight="false" outlineLevel="0" collapsed="false">
      <c r="A62" s="0" t="s">
        <v>533</v>
      </c>
      <c r="B62" s="0" t="s">
        <v>17</v>
      </c>
      <c r="C62" s="5" t="n">
        <f aca="false">IF(C58=1,C30,-1000000000000)</f>
        <v>-1000000000000</v>
      </c>
      <c r="D62" s="5" t="n">
        <f aca="false">IF(D58=1,D30,-1000000000000)</f>
        <v>-1000000000000</v>
      </c>
      <c r="E62" s="5" t="n">
        <f aca="false">IF(E58=1,E30,-1000000000000)</f>
        <v>-1000000000000</v>
      </c>
    </row>
    <row r="63" customFormat="false" ht="15" hidden="false" customHeight="false" outlineLevel="0" collapsed="false">
      <c r="A63" s="0" t="s">
        <v>524</v>
      </c>
      <c r="B63" s="0" t="s">
        <v>17</v>
      </c>
      <c r="C63" s="5" t="n">
        <f aca="false">MAX(C59,C60,C61,C62)</f>
        <v>-1000000000000</v>
      </c>
      <c r="D63" s="5" t="n">
        <f aca="false">MAX(D59,D60,D61,D62)</f>
        <v>-1000000000000</v>
      </c>
      <c r="E63" s="5" t="n">
        <f aca="false">MAX(E59,E60,E61,E62)</f>
        <v>511654.849055714</v>
      </c>
    </row>
    <row r="64" customFormat="false" ht="15" hidden="false" customHeight="false" outlineLevel="0" collapsed="false">
      <c r="A64" s="6" t="s">
        <v>534</v>
      </c>
      <c r="B64" s="7" t="s">
        <v>526</v>
      </c>
      <c r="C64" s="6" t="str">
        <f aca="false">IF(C63&lt;=0,"No viable option (hold, simplify or fix title first)",IF(C59=C63,"Self-run (PLAN generic)",IF(C60=C63,"Owner-operator, simplified",IF(C61=C63,"Lease","Sale"))))</f>
        <v>No viable option (hold, simplify or fix title first)</v>
      </c>
      <c r="D64" s="6" t="str">
        <f aca="false">IF(D63&lt;=0,"No viable option (hold, simplify or fix title first)",IF(D59=D63,"Self-run (PLAN generic)",IF(D60=D63,"Owner-operator, simplified",IF(D61=D63,"Lease","Sale"))))</f>
        <v>No viable option (hold, simplify or fix title first)</v>
      </c>
      <c r="E64" s="6" t="str">
        <f aca="false">IF(E63&lt;=0,"No viable option (hold, simplify or fix title first)",IF(E59=E63,"Self-run (PLAN generic)",IF(E60=E63,"Owner-operator, simplified",IF(E61=E63,"Lease","Sale"))))</f>
        <v>Owner-operator, simplified</v>
      </c>
    </row>
    <row r="65" customFormat="false" ht="15" hidden="false" customHeight="false" outlineLevel="0" collapsed="false">
      <c r="A65" s="3" t="s">
        <v>535</v>
      </c>
      <c r="B65" s="4"/>
      <c r="C65" s="4"/>
      <c r="D65" s="4"/>
      <c r="E65" s="4"/>
      <c r="F65" s="4"/>
      <c r="G65" s="4"/>
    </row>
    <row r="66" customFormat="false" ht="15" hidden="false" customHeight="false" outlineLevel="0" collapsed="false">
      <c r="A66" s="0" t="s">
        <v>536</v>
      </c>
      <c r="B66" s="0" t="s">
        <v>25</v>
      </c>
      <c r="C66" s="9" t="n">
        <f aca="false">C14/Farm_PnL!C47</f>
        <v>-0.496458649240646</v>
      </c>
      <c r="D66" s="9" t="n">
        <f aca="false">D14/Farm_PnL!D47</f>
        <v>-0.259394524985241</v>
      </c>
      <c r="E66" s="9" t="n">
        <f aca="false">E14/Farm_PnL!E47</f>
        <v>-0.0913909844522422</v>
      </c>
    </row>
    <row r="67" customFormat="false" ht="15" hidden="false" customHeight="false" outlineLevel="0" collapsed="false">
      <c r="A67" s="0" t="s">
        <v>537</v>
      </c>
      <c r="B67" s="0" t="s">
        <v>25</v>
      </c>
      <c r="C67" s="9" t="n">
        <f aca="false">C20/Farm_PnL!C47</f>
        <v>-0.286638706737998</v>
      </c>
      <c r="D67" s="9" t="n">
        <f aca="false">D20/Farm_PnL!D47</f>
        <v>-0.0845223642051246</v>
      </c>
      <c r="E67" s="9" t="n">
        <f aca="false">E20/Farm_PnL!E47</f>
        <v>0.0473360023180418</v>
      </c>
    </row>
    <row r="68" customFormat="false" ht="15" hidden="false" customHeight="false" outlineLevel="0" collapsed="false">
      <c r="A68" s="0" t="s">
        <v>538</v>
      </c>
      <c r="B68" s="0" t="s">
        <v>25</v>
      </c>
      <c r="C68" s="9" t="n">
        <f aca="false">C27/Farm_PnL!C47</f>
        <v>0.00173377212891512</v>
      </c>
      <c r="D68" s="9" t="n">
        <f aca="false">D27/Farm_PnL!D47</f>
        <v>0.0121843857771435</v>
      </c>
      <c r="E68" s="9" t="n">
        <f aca="false">E27/Farm_PnL!E47</f>
        <v>0.0220611064853363</v>
      </c>
    </row>
    <row r="69" customFormat="false" ht="15" hidden="false" customHeight="false" outlineLevel="0" collapsed="false">
      <c r="A69" s="0" t="s">
        <v>539</v>
      </c>
      <c r="B69" s="0" t="s">
        <v>25</v>
      </c>
      <c r="C69" s="9" t="n">
        <f aca="false">C30/Farm_PnL!C47</f>
        <v>0.019</v>
      </c>
      <c r="D69" s="9" t="n">
        <f aca="false">D30/Farm_PnL!D47</f>
        <v>0.019</v>
      </c>
      <c r="E69" s="9" t="n">
        <f aca="false">E30/Farm_PnL!E47</f>
        <v>0.019</v>
      </c>
    </row>
    <row r="70" customFormat="false" ht="15" hidden="false" customHeight="false" outlineLevel="0" collapsed="false">
      <c r="A70" s="0" t="s">
        <v>540</v>
      </c>
      <c r="B70" s="0" t="s">
        <v>25</v>
      </c>
      <c r="C70" s="9" t="n">
        <f aca="false">(C30-(C27-C7))/Farm_PnL!C46</f>
        <v>0.0271696428571429</v>
      </c>
      <c r="D70" s="9" t="n">
        <f aca="false">(D30-(D27-D7))/Farm_PnL!D46</f>
        <v>0.0195520833333333</v>
      </c>
      <c r="E70" s="9" t="n">
        <f aca="false">(E30-(E27-E7))/Farm_PnL!E46</f>
        <v>0.0160610119047619</v>
      </c>
      <c r="G70" s="7" t="s">
        <v>541</v>
      </c>
    </row>
    <row r="71" customFormat="false" ht="15" hidden="false" customHeight="false" outlineLevel="0" collapsed="false">
      <c r="A71" s="0" t="s">
        <v>542</v>
      </c>
      <c r="B71" s="0" t="s">
        <v>17</v>
      </c>
      <c r="C71" s="5" t="n">
        <f aca="false">0.2*Farm_PnL!C42</f>
        <v>313517.428571429</v>
      </c>
      <c r="D71" s="5" t="n">
        <f aca="false">0.2*Farm_PnL!D42</f>
        <v>272916.428571429</v>
      </c>
      <c r="E71" s="5" t="n">
        <f aca="false">0.2*Farm_PnL!E42</f>
        <v>248682.571428571</v>
      </c>
      <c r="F71" s="5" t="n">
        <f aca="false">D71/Inputs!$D$4</f>
        <v>2101.13502634097</v>
      </c>
    </row>
    <row r="72" customFormat="false" ht="15" hidden="false" customHeight="false" outlineLevel="0" collapsed="false">
      <c r="A72" s="0" t="s">
        <v>543</v>
      </c>
      <c r="B72" s="0" t="s">
        <v>17</v>
      </c>
      <c r="C72" s="5" t="n">
        <f aca="false">0.07*C5</f>
        <v>151071.3344</v>
      </c>
      <c r="D72" s="5" t="n">
        <f aca="false">0.07*D5</f>
        <v>194355.8225</v>
      </c>
      <c r="E72" s="5" t="n">
        <f aca="false">0.07*E5</f>
        <v>249815.301</v>
      </c>
      <c r="F72" s="5" t="n">
        <f aca="false">D72/Inputs!$D$4</f>
        <v>1496.31089768265</v>
      </c>
    </row>
    <row r="73" customFormat="false" ht="15" hidden="false" customHeight="false" outlineLevel="0" collapsed="false">
      <c r="A73" s="0" t="s">
        <v>544</v>
      </c>
      <c r="B73" s="0" t="s">
        <v>25</v>
      </c>
      <c r="C73" s="9" t="n">
        <f aca="false">C11/C5</f>
        <v>0.46057711925526</v>
      </c>
      <c r="D73" s="9" t="n">
        <f aca="false">D11/D5</f>
        <v>0.358003167103471</v>
      </c>
      <c r="E73" s="9" t="n">
        <f aca="false">E11/E5</f>
        <v>0.278525773727527</v>
      </c>
    </row>
    <row r="74" customFormat="false" ht="15" hidden="false" customHeight="false" outlineLevel="0" collapsed="false">
      <c r="A74" s="0" t="s">
        <v>545</v>
      </c>
      <c r="B74" s="0" t="s">
        <v>25</v>
      </c>
      <c r="C74" s="9" t="n">
        <f aca="false">(C11+C12)/C5</f>
        <v>0.766392912724547</v>
      </c>
      <c r="D74" s="9" t="n">
        <f aca="false">(D11+D12)/D5</f>
        <v>0.595711507433743</v>
      </c>
      <c r="E74" s="9" t="n">
        <f aca="false">(E11+E12)/E5</f>
        <v>0.463462404170351</v>
      </c>
    </row>
    <row r="75" customFormat="false" ht="15" hidden="false" customHeight="false" outlineLevel="0" collapsed="false">
      <c r="A75" s="0" t="s">
        <v>546</v>
      </c>
      <c r="B75" s="0" t="s">
        <v>39</v>
      </c>
      <c r="C75" s="10" t="str">
        <f aca="false">IF(C4&lt;=0,"OMBM&lt;=0",(C11+C12)/C4)</f>
        <v>OMBM&lt;=0</v>
      </c>
      <c r="D75" s="10" t="str">
        <f aca="false">IF(D4&lt;=0,"OMBM&lt;=0",(D11+D12)/D4)</f>
        <v>OMBM&lt;=0</v>
      </c>
      <c r="E75" s="10" t="n">
        <f aca="false">IF(E4&lt;=0,"OMBM&lt;=0",(E11+E12)/E4)</f>
        <v>2.10757058007037</v>
      </c>
    </row>
    <row r="76" customFormat="false" ht="15" hidden="false" customHeight="false" outlineLevel="0" collapsed="false">
      <c r="A76" s="0" t="s">
        <v>547</v>
      </c>
      <c r="B76" s="0" t="s">
        <v>25</v>
      </c>
      <c r="C76" s="9" t="n">
        <f aca="false">Overhead!$C$18/C5</f>
        <v>0.177002474401921</v>
      </c>
      <c r="D76" s="9" t="n">
        <f aca="false">Overhead!$C$18/D5</f>
        <v>0.137582706069946</v>
      </c>
      <c r="E76" s="9" t="n">
        <f aca="false">Overhead!$C$18/E5</f>
        <v>0.10703908004418</v>
      </c>
    </row>
    <row r="77" customFormat="false" ht="15" hidden="false" customHeight="false" outlineLevel="0" collapsed="false">
      <c r="A77" s="0" t="s">
        <v>548</v>
      </c>
      <c r="B77" s="0" t="s">
        <v>25</v>
      </c>
      <c r="C77" s="9" t="n">
        <f aca="false">C17/C5</f>
        <v>0.0871111654124636</v>
      </c>
      <c r="D77" s="9" t="n">
        <f aca="false">D17/D5</f>
        <v>0.0677108605789261</v>
      </c>
      <c r="E77" s="9" t="n">
        <f aca="false">E17/E5</f>
        <v>0.0526789189746228</v>
      </c>
    </row>
    <row r="78" customFormat="false" ht="15" hidden="false" customHeight="false" outlineLevel="0" collapsed="false">
      <c r="A78" s="0" t="s">
        <v>549</v>
      </c>
      <c r="B78" s="0" t="s">
        <v>17</v>
      </c>
      <c r="C78" s="5" t="n">
        <f aca="false">C4/3</f>
        <v>-391878.416076191</v>
      </c>
      <c r="D78" s="5" t="n">
        <f aca="false">D4/3</f>
        <v>-77855.9218154762</v>
      </c>
      <c r="E78" s="5" t="n">
        <f aca="false">E4/3</f>
        <v>261596.616761905</v>
      </c>
      <c r="F78" s="5" t="n">
        <f aca="false">D78/Inputs!$D$4</f>
        <v>-599.398889949005</v>
      </c>
    </row>
    <row r="79" customFormat="false" ht="15" hidden="false" customHeight="false" outlineLevel="0" collapsed="false">
      <c r="A79" s="0" t="s">
        <v>550</v>
      </c>
      <c r="B79" s="0" t="s">
        <v>312</v>
      </c>
      <c r="C79" s="18" t="n">
        <f aca="false">IF(AND(C4&gt;0,C17&lt;=C78),1,0)</f>
        <v>0</v>
      </c>
      <c r="D79" s="18" t="n">
        <f aca="false">IF(AND(D4&gt;0,D17&lt;=D78),1,0)</f>
        <v>0</v>
      </c>
      <c r="E79" s="18" t="n">
        <f aca="false">IF(AND(E4&gt;0,E17&lt;=E78),1,0)</f>
        <v>1</v>
      </c>
    </row>
    <row r="80" customFormat="false" ht="15" hidden="false" customHeight="false" outlineLevel="0" collapsed="false">
      <c r="A80" s="0" t="s">
        <v>551</v>
      </c>
      <c r="B80" s="0" t="s">
        <v>312</v>
      </c>
      <c r="C80" s="18" t="n">
        <f aca="false">IF(C17&lt;=C72,1,0)</f>
        <v>0</v>
      </c>
      <c r="D80" s="18" t="n">
        <f aca="false">IF(D17&lt;=D72,1,0)</f>
        <v>1</v>
      </c>
      <c r="E80" s="18" t="n">
        <f aca="false">IF(E17&lt;=E72,1,0)</f>
        <v>1</v>
      </c>
    </row>
    <row r="81" customFormat="false" ht="15" hidden="false" customHeight="false" outlineLevel="0" collapsed="false">
      <c r="A81" s="0" t="s">
        <v>552</v>
      </c>
      <c r="B81" s="0" t="s">
        <v>25</v>
      </c>
      <c r="C81" s="17" t="n">
        <f aca="false">IF(C4&lt;=0,0,C20/C4)</f>
        <v>0</v>
      </c>
      <c r="D81" s="17" t="n">
        <f aca="false">IF(D4&lt;=0,0,D20/D4)</f>
        <v>0</v>
      </c>
      <c r="E81" s="17" t="n">
        <f aca="false">IF(E4&lt;=0,0,E20/E4)</f>
        <v>0.651964151765519</v>
      </c>
    </row>
    <row r="82" customFormat="false" ht="15" hidden="false" customHeight="false" outlineLevel="0" collapsed="false">
      <c r="A82" s="3" t="s">
        <v>553</v>
      </c>
      <c r="B82" s="4"/>
      <c r="C82" s="4"/>
      <c r="D82" s="4"/>
      <c r="E82" s="4"/>
      <c r="F82" s="4"/>
      <c r="G82" s="4"/>
    </row>
    <row r="83" customFormat="false" ht="15" hidden="false" customHeight="false" outlineLevel="0" collapsed="false">
      <c r="A83" s="0" t="s">
        <v>554</v>
      </c>
      <c r="B83" s="0" t="s">
        <v>17</v>
      </c>
      <c r="C83" s="5" t="n">
        <f aca="false">C18+C17+C16*Inputs!C$8+C19+C8-C7</f>
        <v>718759.964602857</v>
      </c>
      <c r="D83" s="5" t="n">
        <f aca="false">D18+D17+D16*Inputs!D$8+D19+D8-D7</f>
        <v>477180.795154464</v>
      </c>
      <c r="E83" s="5" t="n">
        <f aca="false">E18+E17+E16*Inputs!E$8+E19+E8-E7</f>
        <v>273135.00123</v>
      </c>
      <c r="F83" s="5" t="n">
        <f aca="false">D83/Inputs!$D$4</f>
        <v>3673.73004199295</v>
      </c>
    </row>
    <row r="84" customFormat="false" ht="15" hidden="false" customHeight="false" outlineLevel="0" collapsed="false">
      <c r="A84" s="0" t="s">
        <v>555</v>
      </c>
      <c r="B84" s="0" t="s">
        <v>17</v>
      </c>
      <c r="C84" s="5" t="str">
        <f aca="false">IF(Farm_PnL!C33&lt;=0.02,"n/a",(Farm_PnL!C28+C83)/Farm_PnL!C33)</f>
        <v>n/a</v>
      </c>
      <c r="D84" s="5" t="n">
        <f aca="false">IF(Farm_PnL!D33&lt;=0.02,"n/a",(Farm_PnL!D28+D83)/Farm_PnL!D33)</f>
        <v>6519457.64835716</v>
      </c>
      <c r="E84" s="5" t="n">
        <f aca="false">IF(Farm_PnL!E33&lt;=0.02,"n/a",(Farm_PnL!E28+E83)/Farm_PnL!E33)</f>
        <v>2365177.24492535</v>
      </c>
      <c r="F84" s="5" t="n">
        <f aca="false">D84/Inputs!$D$4</f>
        <v>50192.1444942425</v>
      </c>
    </row>
    <row r="85" customFormat="false" ht="15" hidden="false" customHeight="false" outlineLevel="0" collapsed="false">
      <c r="A85" s="0" t="s">
        <v>556</v>
      </c>
      <c r="B85" s="0" t="s">
        <v>17</v>
      </c>
      <c r="C85" s="5" t="str">
        <f aca="false">IF(Farm_PnL!C33&lt;=0.02,"n/a",(Farm_PnL!C28+C83+C27)/Farm_PnL!C33)</f>
        <v>n/a</v>
      </c>
      <c r="D85" s="5" t="n">
        <f aca="false">IF(Farm_PnL!D33&lt;=0.02,"n/a",(Farm_PnL!D28+D83+D27)/Farm_PnL!D33)</f>
        <v>7059024.86464895</v>
      </c>
      <c r="E85" s="5" t="n">
        <f aca="false">IF(Farm_PnL!E33&lt;=0.02,"n/a",(Farm_PnL!E28+E83+E27)/Farm_PnL!E33)</f>
        <v>2926125.11064423</v>
      </c>
      <c r="F85" s="5" t="n">
        <f aca="false">D85/Inputs!$D$4</f>
        <v>54346.1764927936</v>
      </c>
    </row>
    <row r="86" customFormat="false" ht="15" hidden="false" customHeight="false" outlineLevel="0" collapsed="false">
      <c r="A86" s="0" t="s">
        <v>557</v>
      </c>
      <c r="B86" s="0" t="s">
        <v>39</v>
      </c>
      <c r="C86" s="16" t="str">
        <f aca="false">IF(ISNUMBER(C84),C84/C5,"n/a")</f>
        <v>n/a</v>
      </c>
      <c r="D86" s="16" t="n">
        <f aca="false">IF(ISNUMBER(D84),D84/D5,"n/a")</f>
        <v>2.34807493552194</v>
      </c>
      <c r="E86" s="16" t="n">
        <f aca="false">IF(ISNUMBER(E84),E84/E5,"n/a")</f>
        <v>0.662739257691722</v>
      </c>
    </row>
    <row r="87" customFormat="false" ht="15" hidden="false" customHeight="false" outlineLevel="0" collapsed="false">
      <c r="A87" s="0" t="s">
        <v>558</v>
      </c>
      <c r="B87" s="0" t="s">
        <v>17</v>
      </c>
      <c r="C87" s="5" t="n">
        <f aca="false">C18+C17</f>
        <v>260000</v>
      </c>
      <c r="D87" s="5" t="n">
        <f aca="false">D18+D17</f>
        <v>260000</v>
      </c>
      <c r="E87" s="5" t="n">
        <f aca="false">E18+E17</f>
        <v>260000</v>
      </c>
      <c r="F87" s="5" t="n">
        <f aca="false">D87/Inputs!$D$4</f>
        <v>2001.69374085765</v>
      </c>
    </row>
    <row r="88" customFormat="false" ht="15" hidden="false" customHeight="false" outlineLevel="0" collapsed="false">
      <c r="A88" s="0" t="s">
        <v>51</v>
      </c>
      <c r="B88" s="0" t="s">
        <v>17</v>
      </c>
      <c r="C88" s="5" t="str">
        <f aca="false">IF(Farm_PnL!C33&lt;=0.02,"n/a",(Farm_PnL!C28+C87)/Farm_PnL!C33)</f>
        <v>n/a</v>
      </c>
      <c r="D88" s="5" t="n">
        <f aca="false">IF(Farm_PnL!D33&lt;=0.02,"n/a",(Farm_PnL!D28+D87)/Farm_PnL!D33)</f>
        <v>5375739.58618043</v>
      </c>
      <c r="E88" s="5" t="n">
        <f aca="false">IF(Farm_PnL!E33&lt;=0.02,"n/a",(Farm_PnL!E28+E87)/Farm_PnL!E33)</f>
        <v>2334278.57322279</v>
      </c>
      <c r="F88" s="5" t="n">
        <f aca="false">D88/Inputs!$D$4</f>
        <v>41386.8626236079</v>
      </c>
    </row>
    <row r="89" customFormat="false" ht="15" hidden="false" customHeight="false" outlineLevel="0" collapsed="false">
      <c r="A89" s="0" t="s">
        <v>559</v>
      </c>
      <c r="B89" s="0" t="s">
        <v>17</v>
      </c>
      <c r="C89" s="5" t="n">
        <f aca="false">C12+C11+C10*Inputs!C$8+C13+C8-C7</f>
        <v>2105459.96460286</v>
      </c>
      <c r="D89" s="5" t="n">
        <f aca="false">D12+D11+D10*Inputs!D$8+D13+D8-D7</f>
        <v>1947680.79515446</v>
      </c>
      <c r="E89" s="5" t="n">
        <f aca="false">E12+E11+E10*Inputs!E$8+E13+E8-E7</f>
        <v>1772635.00123</v>
      </c>
      <c r="F89" s="5" t="n">
        <f aca="false">D89/Inputs!$D$4</f>
        <v>14994.847910959</v>
      </c>
    </row>
    <row r="90" customFormat="false" ht="15" hidden="false" customHeight="false" outlineLevel="0" collapsed="false">
      <c r="A90" s="0" t="s">
        <v>560</v>
      </c>
      <c r="B90" s="0" t="s">
        <v>17</v>
      </c>
      <c r="C90" s="5" t="str">
        <f aca="false">IF(Farm_PnL!C33&lt;=0.02,"n/a",(Farm_PnL!C28+C89)/Farm_PnL!C33)</f>
        <v>n/a</v>
      </c>
      <c r="D90" s="5" t="n">
        <f aca="false">IF(Farm_PnL!D33&lt;=0.02,"n/a",(Farm_PnL!D28+D89)/Farm_PnL!D33)</f>
        <v>14263408.5314668</v>
      </c>
      <c r="E90" s="5" t="n">
        <f aca="false">IF(Farm_PnL!E33&lt;=0.02,"n/a",(Farm_PnL!E28+E89)/Farm_PnL!E33)</f>
        <v>5892589.03626625</v>
      </c>
      <c r="F90" s="5" t="n">
        <f aca="false">D90/Inputs!$D$4</f>
        <v>109811.44454128</v>
      </c>
    </row>
    <row r="91" customFormat="false" ht="15" hidden="false" customHeight="false" outlineLevel="0" collapsed="false">
      <c r="A91" s="0" t="s">
        <v>561</v>
      </c>
      <c r="B91" s="0" t="s">
        <v>39</v>
      </c>
      <c r="C91" s="16" t="str">
        <f aca="false">IF(ISNUMBER(C90),C90/C5,"n/a")</f>
        <v>n/a</v>
      </c>
      <c r="D91" s="16" t="n">
        <f aca="false">IF(ISNUMBER(D90),D90/D5,"n/a")</f>
        <v>5.1371684385873</v>
      </c>
      <c r="E91" s="16" t="n">
        <f aca="false">IF(ISNUMBER(E90),E90/E5,"n/a")</f>
        <v>1.65114478932032</v>
      </c>
    </row>
    <row r="92" customFormat="false" ht="15" hidden="false" customHeight="false" outlineLevel="0" collapsed="false">
      <c r="A92" s="0" t="s">
        <v>562</v>
      </c>
      <c r="B92" s="0" t="s">
        <v>33</v>
      </c>
      <c r="C92" s="5" t="n">
        <f aca="false">(C20+C16*Inputs!C$8)/C16</f>
        <v>-2260.66743375201</v>
      </c>
      <c r="D92" s="5" t="n">
        <f aca="false">(D20+D16*Inputs!D$8)/D16</f>
        <v>-1245.10556652368</v>
      </c>
      <c r="E92" s="5" t="n">
        <f aca="false">(E20+E16*Inputs!E$8)/E16</f>
        <v>1966.96258072387</v>
      </c>
      <c r="F92" s="5" t="n">
        <f aca="false">D92/Inputs!$D$4</f>
        <v>-9.58584622775949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0"/>
    <col collapsed="false" customWidth="true" hidden="false" outlineLevel="0" max="4" min="3" style="0" width="5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563</v>
      </c>
    </row>
    <row r="2" customFormat="false" ht="15" hidden="false" customHeight="false" outlineLevel="0" collapsed="false">
      <c r="A2" s="2" t="s">
        <v>564</v>
      </c>
      <c r="B2" s="2" t="s">
        <v>565</v>
      </c>
      <c r="C2" s="2" t="s">
        <v>566</v>
      </c>
      <c r="D2" s="2" t="s">
        <v>567</v>
      </c>
      <c r="E2" s="2" t="s">
        <v>568</v>
      </c>
    </row>
    <row r="3" customFormat="false" ht="15" hidden="false" customHeight="false" outlineLevel="0" collapsed="false">
      <c r="A3" s="0" t="n">
        <v>1</v>
      </c>
      <c r="B3" s="0" t="s">
        <v>569</v>
      </c>
      <c r="C3" s="0" t="s">
        <v>570</v>
      </c>
      <c r="D3" s="0" t="s">
        <v>571</v>
      </c>
      <c r="E3" s="0" t="n">
        <v>1</v>
      </c>
    </row>
    <row r="4" customFormat="false" ht="15" hidden="false" customHeight="false" outlineLevel="0" collapsed="false">
      <c r="A4" s="0" t="n">
        <v>2</v>
      </c>
      <c r="B4" s="0" t="s">
        <v>572</v>
      </c>
      <c r="C4" s="0" t="s">
        <v>573</v>
      </c>
      <c r="D4" s="0" t="s">
        <v>574</v>
      </c>
      <c r="E4" s="0" t="n">
        <v>1</v>
      </c>
    </row>
    <row r="5" customFormat="false" ht="15" hidden="false" customHeight="false" outlineLevel="0" collapsed="false">
      <c r="A5" s="0" t="n">
        <v>3</v>
      </c>
      <c r="B5" s="0" t="s">
        <v>575</v>
      </c>
      <c r="C5" s="0" t="s">
        <v>576</v>
      </c>
      <c r="D5" s="0" t="s">
        <v>577</v>
      </c>
      <c r="E5" s="0" t="n">
        <v>2</v>
      </c>
    </row>
    <row r="6" customFormat="false" ht="15" hidden="false" customHeight="false" outlineLevel="0" collapsed="false">
      <c r="A6" s="0" t="n">
        <v>4</v>
      </c>
      <c r="B6" s="0" t="s">
        <v>578</v>
      </c>
      <c r="C6" s="0" t="s">
        <v>579</v>
      </c>
      <c r="D6" s="0" t="s">
        <v>580</v>
      </c>
      <c r="E6" s="0" t="n">
        <v>8</v>
      </c>
    </row>
    <row r="7" customFormat="false" ht="15" hidden="false" customHeight="false" outlineLevel="0" collapsed="false">
      <c r="A7" s="0" t="n">
        <v>5</v>
      </c>
      <c r="B7" s="0" t="s">
        <v>581</v>
      </c>
      <c r="C7" s="0" t="s">
        <v>582</v>
      </c>
      <c r="D7" s="0" t="s">
        <v>583</v>
      </c>
      <c r="E7" s="0" t="n">
        <v>8</v>
      </c>
    </row>
    <row r="8" customFormat="false" ht="15" hidden="false" customHeight="false" outlineLevel="0" collapsed="false">
      <c r="A8" s="0" t="n">
        <v>6</v>
      </c>
      <c r="B8" s="0" t="s">
        <v>584</v>
      </c>
      <c r="C8" s="0" t="s">
        <v>585</v>
      </c>
      <c r="D8" s="0" t="s">
        <v>586</v>
      </c>
      <c r="E8" s="0" t="n">
        <v>4</v>
      </c>
    </row>
    <row r="9" customFormat="false" ht="15" hidden="false" customHeight="false" outlineLevel="0" collapsed="false">
      <c r="A9" s="0" t="n">
        <v>7</v>
      </c>
      <c r="B9" s="0" t="s">
        <v>587</v>
      </c>
      <c r="C9" s="0" t="s">
        <v>588</v>
      </c>
      <c r="D9" s="0" t="s">
        <v>589</v>
      </c>
      <c r="E9" s="0" t="n">
        <v>8</v>
      </c>
    </row>
    <row r="10" customFormat="false" ht="15" hidden="false" customHeight="false" outlineLevel="0" collapsed="false">
      <c r="A10" s="0" t="n">
        <v>8</v>
      </c>
      <c r="B10" s="0" t="s">
        <v>590</v>
      </c>
      <c r="C10" s="0" t="s">
        <v>591</v>
      </c>
      <c r="D10" s="0" t="s">
        <v>592</v>
      </c>
      <c r="E10" s="0" t="n">
        <v>8</v>
      </c>
    </row>
    <row r="11" customFormat="false" ht="15" hidden="false" customHeight="false" outlineLevel="0" collapsed="false">
      <c r="A11" s="0" t="n">
        <v>9</v>
      </c>
      <c r="B11" s="0" t="s">
        <v>593</v>
      </c>
      <c r="C11" s="0" t="s">
        <v>594</v>
      </c>
      <c r="D11" s="0" t="s">
        <v>595</v>
      </c>
      <c r="E11" s="0" t="n">
        <v>6</v>
      </c>
    </row>
    <row r="12" customFormat="false" ht="15" hidden="false" customHeight="false" outlineLevel="0" collapsed="false">
      <c r="A12" s="0" t="n">
        <v>10</v>
      </c>
      <c r="B12" s="0" t="s">
        <v>596</v>
      </c>
      <c r="C12" s="0" t="s">
        <v>597</v>
      </c>
      <c r="D12" s="0" t="s">
        <v>598</v>
      </c>
      <c r="E12" s="0" t="n">
        <v>4</v>
      </c>
    </row>
    <row r="13" customFormat="false" ht="15" hidden="false" customHeight="false" outlineLevel="0" collapsed="false">
      <c r="A13" s="0" t="n">
        <v>11</v>
      </c>
      <c r="B13" s="0" t="s">
        <v>599</v>
      </c>
      <c r="C13" s="0" t="s">
        <v>600</v>
      </c>
      <c r="D13" s="0" t="s">
        <v>601</v>
      </c>
      <c r="E13" s="0" t="n">
        <v>2</v>
      </c>
    </row>
    <row r="14" customFormat="false" ht="15" hidden="false" customHeight="false" outlineLevel="0" collapsed="false">
      <c r="A14" s="0" t="n">
        <v>12</v>
      </c>
      <c r="B14" s="0" t="s">
        <v>602</v>
      </c>
      <c r="C14" s="0" t="s">
        <v>603</v>
      </c>
      <c r="D14" s="0" t="s">
        <v>604</v>
      </c>
      <c r="E14" s="0" t="n">
        <v>8</v>
      </c>
    </row>
    <row r="15" customFormat="false" ht="15" hidden="false" customHeight="false" outlineLevel="0" collapsed="false">
      <c r="A15" s="0" t="n">
        <v>13</v>
      </c>
      <c r="B15" s="0" t="s">
        <v>605</v>
      </c>
      <c r="C15" s="0" t="s">
        <v>606</v>
      </c>
      <c r="D15" s="0" t="s">
        <v>607</v>
      </c>
      <c r="E15" s="0" t="n">
        <v>6</v>
      </c>
    </row>
    <row r="16" customFormat="false" ht="15" hidden="false" customHeight="false" outlineLevel="0" collapsed="false">
      <c r="A16" s="0" t="n">
        <v>14</v>
      </c>
      <c r="B16" s="0" t="s">
        <v>608</v>
      </c>
      <c r="C16" s="0" t="s">
        <v>609</v>
      </c>
      <c r="D16" s="0" t="s">
        <v>610</v>
      </c>
      <c r="E16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2026-10-15T06:04:41Z</dcterms:created>
  <dc:creator>openpyxl</dc:creator>
  <dc:description/>
  <dc:language>en-US</dc:language>
  <cp:lastModifiedBy/>
  <dcterms:modified xsi:type="dcterms:W3CDTF">2026-10-15T06:04:41Z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